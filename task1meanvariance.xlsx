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dadaoud/Desktop/Visa-Equity-Valuation-DCF/"/>
    </mc:Choice>
  </mc:AlternateContent>
  <xr:revisionPtr revIDLastSave="0" documentId="8_{3BB859EA-5F2B-1D4A-92AE-E086E8D2E642}" xr6:coauthVersionLast="47" xr6:coauthVersionMax="47" xr10:uidLastSave="{00000000-0000-0000-0000-000000000000}"/>
  <bookViews>
    <workbookView xWindow="140" yWindow="920" windowWidth="29080" windowHeight="16740" activeTab="6" xr2:uid="{6C870FCF-D4C3-1248-8F86-455FB14C49A8}"/>
  </bookViews>
  <sheets>
    <sheet name="Prices" sheetId="1" r:id="rId1"/>
    <sheet name="Returns" sheetId="2" r:id="rId2"/>
    <sheet name="Excess_Returns" sheetId="3" r:id="rId3"/>
    <sheet name="RiskFree" sheetId="4" r:id="rId4"/>
    <sheet name="Stats" sheetId="5" r:id="rId5"/>
    <sheet name="MV_HighBeta" sheetId="10" r:id="rId6"/>
    <sheet name="MV_LowBeta" sheetId="11" r:id="rId7"/>
    <sheet name="MV_NoShortSelling" sheetId="7" r:id="rId8"/>
    <sheet name="MV_RestrictedSelling" sheetId="9" r:id="rId9"/>
    <sheet name="Sheet2" sheetId="8" r:id="rId10"/>
  </sheets>
  <definedNames>
    <definedName name="solver_adj" localSheetId="5" hidden="1">MV_HighBeta!$F$2:$F$11</definedName>
    <definedName name="solver_adj" localSheetId="7" hidden="1">MV_NoShortSelling!$C$2:$C$21</definedName>
    <definedName name="solver_adj" localSheetId="8" hidden="1">MV_RestrictedSelling!$C$2:$C$21</definedName>
    <definedName name="solver_cvg" localSheetId="5" hidden="1">0.0001</definedName>
    <definedName name="solver_cvg" localSheetId="7" hidden="1">0.0001</definedName>
    <definedName name="solver_cvg" localSheetId="8" hidden="1">0.0001</definedName>
    <definedName name="solver_drv" localSheetId="5" hidden="1">1</definedName>
    <definedName name="solver_drv" localSheetId="7" hidden="1">1</definedName>
    <definedName name="solver_drv" localSheetId="8" hidden="1">1</definedName>
    <definedName name="solver_eng" localSheetId="5" hidden="1">1</definedName>
    <definedName name="solver_eng" localSheetId="7" hidden="1">1</definedName>
    <definedName name="solver_eng" localSheetId="8" hidden="1">1</definedName>
    <definedName name="solver_itr" localSheetId="5" hidden="1">2147483647</definedName>
    <definedName name="solver_itr" localSheetId="7" hidden="1">2147483647</definedName>
    <definedName name="solver_itr" localSheetId="8" hidden="1">2147483647</definedName>
    <definedName name="solver_lhs1" localSheetId="5" hidden="1">MV_HighBeta!$C$18</definedName>
    <definedName name="solver_lhs1" localSheetId="7" hidden="1">MV_NoShortSelling!$C$22</definedName>
    <definedName name="solver_lhs1" localSheetId="8" hidden="1">MV_RestrictedSelling!$C$22</definedName>
    <definedName name="solver_lhs2" localSheetId="5" hidden="1">MV_HighBeta!$F$12</definedName>
    <definedName name="solver_lhs2" localSheetId="7" hidden="1">MV_NoShortSelling!$C$2:$C$21</definedName>
    <definedName name="solver_lhs2" localSheetId="8" hidden="1">MV_RestrictedSelling!$C$2:$C$21</definedName>
    <definedName name="solver_lhs3" localSheetId="5" hidden="1">MV_HighBeta!$F$2:$F$11</definedName>
    <definedName name="solver_lhs3" localSheetId="7" hidden="1">MV_NoShortSelling!$D$2</definedName>
    <definedName name="solver_lhs3" localSheetId="8" hidden="1">MV_RestrictedSelling!$C$2:$C$21</definedName>
    <definedName name="solver_lhs4" localSheetId="8" hidden="1">MV_RestrictedSelling!$D$24</definedName>
    <definedName name="solver_lin" localSheetId="5" hidden="1">2</definedName>
    <definedName name="solver_lin" localSheetId="7" hidden="1">2</definedName>
    <definedName name="solver_lin" localSheetId="8" hidden="1">2</definedName>
    <definedName name="solver_mip" localSheetId="5" hidden="1">2147483647</definedName>
    <definedName name="solver_mip" localSheetId="7" hidden="1">2147483647</definedName>
    <definedName name="solver_mip" localSheetId="8" hidden="1">2147483647</definedName>
    <definedName name="solver_mni" localSheetId="5" hidden="1">30</definedName>
    <definedName name="solver_mni" localSheetId="7" hidden="1">30</definedName>
    <definedName name="solver_mni" localSheetId="8" hidden="1">30</definedName>
    <definedName name="solver_mrt" localSheetId="5" hidden="1">0.075</definedName>
    <definedName name="solver_mrt" localSheetId="7" hidden="1">0.075</definedName>
    <definedName name="solver_mrt" localSheetId="8" hidden="1">0.075</definedName>
    <definedName name="solver_msl" localSheetId="5" hidden="1">2</definedName>
    <definedName name="solver_msl" localSheetId="7" hidden="1">2</definedName>
    <definedName name="solver_msl" localSheetId="8" hidden="1">2</definedName>
    <definedName name="solver_neg" localSheetId="5" hidden="1">1</definedName>
    <definedName name="solver_neg" localSheetId="7" hidden="1">1</definedName>
    <definedName name="solver_neg" localSheetId="8" hidden="1">2</definedName>
    <definedName name="solver_nod" localSheetId="5" hidden="1">2147483647</definedName>
    <definedName name="solver_nod" localSheetId="7" hidden="1">2147483647</definedName>
    <definedName name="solver_nod" localSheetId="8" hidden="1">2147483647</definedName>
    <definedName name="solver_num" localSheetId="5" hidden="1">3</definedName>
    <definedName name="solver_num" localSheetId="7" hidden="1">3</definedName>
    <definedName name="solver_num" localSheetId="8" hidden="1">4</definedName>
    <definedName name="solver_opt" localSheetId="5" hidden="1">MV_HighBeta!$C$20</definedName>
    <definedName name="solver_opt" localSheetId="7" hidden="1">MV_NoShortSelling!$D$4</definedName>
    <definedName name="solver_opt" localSheetId="8" hidden="1">MV_RestrictedSelling!$D$26</definedName>
    <definedName name="solver_pre" localSheetId="5" hidden="1">0.000001</definedName>
    <definedName name="solver_pre" localSheetId="7" hidden="1">0.000001</definedName>
    <definedName name="solver_pre" localSheetId="8" hidden="1">0.000001</definedName>
    <definedName name="solver_rbv" localSheetId="5" hidden="1">1</definedName>
    <definedName name="solver_rbv" localSheetId="7" hidden="1">1</definedName>
    <definedName name="solver_rbv" localSheetId="8" hidden="1">1</definedName>
    <definedName name="solver_rel1" localSheetId="5" hidden="1">2</definedName>
    <definedName name="solver_rel1" localSheetId="7" hidden="1">2</definedName>
    <definedName name="solver_rel1" localSheetId="8" hidden="1">2</definedName>
    <definedName name="solver_rel2" localSheetId="5" hidden="1">2</definedName>
    <definedName name="solver_rel2" localSheetId="7" hidden="1">3</definedName>
    <definedName name="solver_rel2" localSheetId="8" hidden="1">1</definedName>
    <definedName name="solver_rel3" localSheetId="5" hidden="1">3</definedName>
    <definedName name="solver_rel3" localSheetId="7" hidden="1">2</definedName>
    <definedName name="solver_rel3" localSheetId="8" hidden="1">3</definedName>
    <definedName name="solver_rel4" localSheetId="8" hidden="1">2</definedName>
    <definedName name="solver_rhs1" localSheetId="5" hidden="1">MV_HighBeta!$G$2</definedName>
    <definedName name="solver_rhs1" localSheetId="7" hidden="1">1</definedName>
    <definedName name="solver_rhs1" localSheetId="8" hidden="1">1</definedName>
    <definedName name="solver_rhs2" localSheetId="5" hidden="1">1</definedName>
    <definedName name="solver_rhs2" localSheetId="7" hidden="1">0</definedName>
    <definedName name="solver_rhs2" localSheetId="8" hidden="1">0.3</definedName>
    <definedName name="solver_rhs3" localSheetId="5" hidden="1">0</definedName>
    <definedName name="solver_rhs3" localSheetId="7" hidden="1">MV_NoShortSelling!#REF!</definedName>
    <definedName name="solver_rhs3" localSheetId="8" hidden="1">-0.1</definedName>
    <definedName name="solver_rhs4" localSheetId="8" hidden="1">MV_RestrictedSelling!$K$2</definedName>
    <definedName name="solver_rlx" localSheetId="5" hidden="1">1</definedName>
    <definedName name="solver_rlx" localSheetId="7" hidden="1">2</definedName>
    <definedName name="solver_rlx" localSheetId="8" hidden="1">2</definedName>
    <definedName name="solver_rsd" localSheetId="5" hidden="1">0</definedName>
    <definedName name="solver_rsd" localSheetId="7" hidden="1">0</definedName>
    <definedName name="solver_rsd" localSheetId="8" hidden="1">0</definedName>
    <definedName name="solver_scl" localSheetId="5" hidden="1">2</definedName>
    <definedName name="solver_scl" localSheetId="7" hidden="1">1</definedName>
    <definedName name="solver_scl" localSheetId="8" hidden="1">1</definedName>
    <definedName name="solver_sho" localSheetId="5" hidden="1">2</definedName>
    <definedName name="solver_sho" localSheetId="7" hidden="1">2</definedName>
    <definedName name="solver_sho" localSheetId="8" hidden="1">2</definedName>
    <definedName name="solver_ssz" localSheetId="5" hidden="1">100</definedName>
    <definedName name="solver_ssz" localSheetId="7" hidden="1">100</definedName>
    <definedName name="solver_ssz" localSheetId="8" hidden="1">100</definedName>
    <definedName name="solver_tim" localSheetId="5" hidden="1">2147483647</definedName>
    <definedName name="solver_tim" localSheetId="7" hidden="1">2147483647</definedName>
    <definedName name="solver_tim" localSheetId="8" hidden="1">2147483647</definedName>
    <definedName name="solver_tol" localSheetId="5" hidden="1">0.01</definedName>
    <definedName name="solver_tol" localSheetId="7" hidden="1">0.01</definedName>
    <definedName name="solver_tol" localSheetId="8" hidden="1">0.01</definedName>
    <definedName name="solver_typ" localSheetId="5" hidden="1">2</definedName>
    <definedName name="solver_typ" localSheetId="7" hidden="1">2</definedName>
    <definedName name="solver_typ" localSheetId="8" hidden="1">2</definedName>
    <definedName name="solver_val" localSheetId="5" hidden="1">0</definedName>
    <definedName name="solver_val" localSheetId="7" hidden="1">0</definedName>
    <definedName name="solver_val" localSheetId="8" hidden="1">0</definedName>
    <definedName name="solver_ver" localSheetId="5" hidden="1">2</definedName>
    <definedName name="solver_ver" localSheetId="7" hidden="1">2</definedName>
    <definedName name="solver_ver" localSheetId="8" hidden="1">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5" l="1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3" i="5"/>
  <c r="AB22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11" i="7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41" i="9"/>
  <c r="AG42" i="9"/>
  <c r="AG43" i="9"/>
  <c r="AG44" i="9"/>
  <c r="AG45" i="9"/>
  <c r="AG46" i="9"/>
  <c r="AG47" i="9"/>
  <c r="AG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46" i="9"/>
  <c r="L47" i="9"/>
  <c r="L28" i="9"/>
  <c r="K2" i="9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11" i="7"/>
  <c r="D26" i="9" l="1" a="1"/>
  <c r="D26" i="9" s="1"/>
  <c r="D27" i="9" s="1"/>
  <c r="AB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11" i="7"/>
  <c r="J2" i="5" a="1"/>
  <c r="J2" i="5" s="1"/>
  <c r="K2" i="5" a="1"/>
  <c r="K2" i="5" s="1"/>
  <c r="L2" i="5" a="1"/>
  <c r="L2" i="5"/>
  <c r="M2" i="5" a="1"/>
  <c r="M2" i="5"/>
  <c r="N2" i="5" a="1"/>
  <c r="N2" i="5"/>
  <c r="O2" i="5" a="1"/>
  <c r="O2" i="5" s="1"/>
  <c r="P2" i="5" a="1"/>
  <c r="P2" i="5" s="1"/>
  <c r="Q2" i="5" a="1"/>
  <c r="Q2" i="5"/>
  <c r="R2" i="5" a="1"/>
  <c r="R2" i="5"/>
  <c r="S2" i="5" a="1"/>
  <c r="S2" i="5"/>
  <c r="T2" i="5" a="1"/>
  <c r="T2" i="5" s="1"/>
  <c r="U2" i="5" a="1"/>
  <c r="U2" i="5" s="1"/>
  <c r="V2" i="5" a="1"/>
  <c r="V2" i="5"/>
  <c r="W2" i="5" a="1"/>
  <c r="W2" i="5"/>
  <c r="X2" i="5" a="1"/>
  <c r="X2" i="5"/>
  <c r="Y2" i="5" a="1"/>
  <c r="Y2" i="5" s="1"/>
  <c r="Z2" i="5" a="1"/>
  <c r="Z2" i="5" s="1"/>
  <c r="AA2" i="5" a="1"/>
  <c r="AA2" i="5"/>
  <c r="AB2" i="5" a="1"/>
  <c r="AB2" i="5"/>
  <c r="I2" i="5" a="1"/>
  <c r="I2" i="5" s="1"/>
  <c r="H4" i="5" a="1"/>
  <c r="H4" i="5" s="1"/>
  <c r="H5" i="5" a="1"/>
  <c r="H5" i="5" s="1"/>
  <c r="H6" i="5" a="1"/>
  <c r="H6" i="5"/>
  <c r="H7" i="5" a="1"/>
  <c r="H7" i="5"/>
  <c r="H8" i="5" a="1"/>
  <c r="H8" i="5"/>
  <c r="H9" i="5" a="1"/>
  <c r="H9" i="5" s="1"/>
  <c r="H10" i="5" a="1"/>
  <c r="H10" i="5" s="1"/>
  <c r="H11" i="5" a="1"/>
  <c r="H11" i="5"/>
  <c r="H12" i="5" a="1"/>
  <c r="H12" i="5"/>
  <c r="H13" i="5" a="1"/>
  <c r="H13" i="5"/>
  <c r="H14" i="5" a="1"/>
  <c r="H14" i="5" s="1"/>
  <c r="H15" i="5" a="1"/>
  <c r="H15" i="5" s="1"/>
  <c r="H16" i="5" a="1"/>
  <c r="H16" i="5"/>
  <c r="H17" i="5" a="1"/>
  <c r="H17" i="5"/>
  <c r="H18" i="5" a="1"/>
  <c r="H18" i="5"/>
  <c r="H19" i="5" a="1"/>
  <c r="H19" i="5" s="1"/>
  <c r="H20" i="5" a="1"/>
  <c r="H20" i="5" s="1"/>
  <c r="H21" i="5" a="1"/>
  <c r="H21" i="5"/>
  <c r="H22" i="5" a="1"/>
  <c r="H22" i="5"/>
  <c r="H3" i="5" a="1"/>
  <c r="H3" i="5" s="1"/>
  <c r="B3" i="3"/>
  <c r="G18" i="11"/>
  <c r="C18" i="10"/>
  <c r="F12" i="11"/>
  <c r="C20" i="10" a="1"/>
  <c r="C20" i="10" s="1"/>
  <c r="C21" i="10" s="1"/>
  <c r="F12" i="10"/>
  <c r="AC22" i="11"/>
  <c r="E7" i="11"/>
  <c r="C7" i="11"/>
  <c r="B7" i="11"/>
  <c r="AB21" i="11"/>
  <c r="AA20" i="11"/>
  <c r="E11" i="11"/>
  <c r="C11" i="11"/>
  <c r="B11" i="11"/>
  <c r="Z19" i="11"/>
  <c r="Y18" i="11"/>
  <c r="X17" i="11"/>
  <c r="W16" i="11"/>
  <c r="V15" i="11"/>
  <c r="U14" i="11"/>
  <c r="T13" i="11"/>
  <c r="E8" i="11"/>
  <c r="C8" i="11"/>
  <c r="B8" i="11"/>
  <c r="S12" i="11"/>
  <c r="E4" i="11"/>
  <c r="C4" i="11"/>
  <c r="B4" i="11"/>
  <c r="R11" i="11"/>
  <c r="E2" i="11"/>
  <c r="C2" i="11"/>
  <c r="B2" i="11"/>
  <c r="Q10" i="11"/>
  <c r="E5" i="11"/>
  <c r="C5" i="11"/>
  <c r="B5" i="11"/>
  <c r="P9" i="11"/>
  <c r="E6" i="11"/>
  <c r="C6" i="11"/>
  <c r="B6" i="11"/>
  <c r="O8" i="11"/>
  <c r="E3" i="11"/>
  <c r="C3" i="11"/>
  <c r="B3" i="11"/>
  <c r="N7" i="11"/>
  <c r="M6" i="11"/>
  <c r="L5" i="11"/>
  <c r="E10" i="11"/>
  <c r="C10" i="11"/>
  <c r="B10" i="11"/>
  <c r="K4" i="11"/>
  <c r="E9" i="11"/>
  <c r="C9" i="11"/>
  <c r="B9" i="11"/>
  <c r="J3" i="11"/>
  <c r="AF22" i="10"/>
  <c r="AE21" i="10"/>
  <c r="E11" i="10"/>
  <c r="C11" i="10"/>
  <c r="B11" i="10"/>
  <c r="AD20" i="10"/>
  <c r="AC19" i="10"/>
  <c r="E2" i="10"/>
  <c r="C2" i="10"/>
  <c r="B2" i="10"/>
  <c r="AB18" i="10"/>
  <c r="E9" i="10"/>
  <c r="C9" i="10"/>
  <c r="B9" i="10"/>
  <c r="AA17" i="10"/>
  <c r="E4" i="10"/>
  <c r="C4" i="10"/>
  <c r="B4" i="10"/>
  <c r="Z16" i="10"/>
  <c r="E5" i="10"/>
  <c r="C5" i="10"/>
  <c r="B5" i="10"/>
  <c r="Y15" i="10"/>
  <c r="E7" i="10"/>
  <c r="C7" i="10"/>
  <c r="B7" i="10"/>
  <c r="X14" i="10"/>
  <c r="E10" i="10"/>
  <c r="C10" i="10"/>
  <c r="B10" i="10"/>
  <c r="W13" i="10"/>
  <c r="V12" i="10"/>
  <c r="U11" i="10"/>
  <c r="T10" i="10"/>
  <c r="S9" i="10"/>
  <c r="R8" i="10"/>
  <c r="Q7" i="10"/>
  <c r="E8" i="10"/>
  <c r="C8" i="10"/>
  <c r="B8" i="10"/>
  <c r="P6" i="10"/>
  <c r="E3" i="10"/>
  <c r="C3" i="10"/>
  <c r="B3" i="10"/>
  <c r="O5" i="10"/>
  <c r="N4" i="10"/>
  <c r="M3" i="10"/>
  <c r="E6" i="10"/>
  <c r="C6" i="10"/>
  <c r="B6" i="10"/>
  <c r="B4" i="3"/>
  <c r="M22" i="9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" i="9"/>
  <c r="C22" i="9"/>
  <c r="B3" i="8" a="1"/>
  <c r="B3" i="8" s="1"/>
  <c r="D3" i="8" a="1"/>
  <c r="D3" i="8" s="1"/>
  <c r="E3" i="8" a="1"/>
  <c r="E3" i="8" s="1"/>
  <c r="F3" i="8" a="1"/>
  <c r="F3" i="8" s="1"/>
  <c r="G3" i="8" a="1"/>
  <c r="G3" i="8" s="1"/>
  <c r="H3" i="8" a="1"/>
  <c r="H3" i="8" s="1"/>
  <c r="I3" i="8" a="1"/>
  <c r="I3" i="8" s="1"/>
  <c r="J3" i="8" a="1"/>
  <c r="J3" i="8" s="1"/>
  <c r="K3" i="8" a="1"/>
  <c r="K3" i="8" s="1"/>
  <c r="L3" i="8" a="1"/>
  <c r="L3" i="8" s="1"/>
  <c r="M3" i="8" a="1"/>
  <c r="M3" i="8" s="1"/>
  <c r="N3" i="8" a="1"/>
  <c r="N3" i="8" s="1"/>
  <c r="O3" i="8" a="1"/>
  <c r="O3" i="8" s="1"/>
  <c r="P3" i="8" a="1"/>
  <c r="P3" i="8" s="1"/>
  <c r="Q3" i="8" a="1"/>
  <c r="Q3" i="8" s="1"/>
  <c r="R3" i="8" a="1"/>
  <c r="R3" i="8" s="1"/>
  <c r="S3" i="8" a="1"/>
  <c r="S3" i="8" s="1"/>
  <c r="T3" i="8" a="1"/>
  <c r="T3" i="8" s="1"/>
  <c r="U3" i="8" a="1"/>
  <c r="U3" i="8" s="1"/>
  <c r="B4" i="8" a="1"/>
  <c r="B4" i="8" s="1"/>
  <c r="C4" i="8" a="1"/>
  <c r="C4" i="8" s="1"/>
  <c r="E4" i="8" a="1"/>
  <c r="E4" i="8" s="1"/>
  <c r="F4" i="8" a="1"/>
  <c r="F4" i="8" s="1"/>
  <c r="G4" i="8" a="1"/>
  <c r="G4" i="8" s="1"/>
  <c r="H4" i="8" a="1"/>
  <c r="H4" i="8" s="1"/>
  <c r="I4" i="8" a="1"/>
  <c r="I4" i="8" s="1"/>
  <c r="J4" i="8" a="1"/>
  <c r="J4" i="8" s="1"/>
  <c r="K4" i="8" a="1"/>
  <c r="K4" i="8" s="1"/>
  <c r="L4" i="8" a="1"/>
  <c r="L4" i="8" s="1"/>
  <c r="M4" i="8" a="1"/>
  <c r="M4" i="8" s="1"/>
  <c r="N4" i="8" a="1"/>
  <c r="N4" i="8" s="1"/>
  <c r="O4" i="8" a="1"/>
  <c r="O4" i="8" s="1"/>
  <c r="P4" i="8" a="1"/>
  <c r="P4" i="8" s="1"/>
  <c r="Q4" i="8" a="1"/>
  <c r="Q4" i="8" s="1"/>
  <c r="R4" i="8" a="1"/>
  <c r="R4" i="8" s="1"/>
  <c r="S4" i="8" a="1"/>
  <c r="S4" i="8" s="1"/>
  <c r="T4" i="8" a="1"/>
  <c r="T4" i="8" s="1"/>
  <c r="U4" i="8" a="1"/>
  <c r="U4" i="8" s="1"/>
  <c r="B5" i="8" a="1"/>
  <c r="B5" i="8" s="1"/>
  <c r="C5" i="8" a="1"/>
  <c r="C5" i="8" s="1"/>
  <c r="D5" i="8" a="1"/>
  <c r="D5" i="8" s="1"/>
  <c r="F5" i="8" a="1"/>
  <c r="F5" i="8" s="1"/>
  <c r="G5" i="8" a="1"/>
  <c r="G5" i="8" s="1"/>
  <c r="H5" i="8" a="1"/>
  <c r="H5" i="8" s="1"/>
  <c r="I5" i="8" a="1"/>
  <c r="I5" i="8" s="1"/>
  <c r="J5" i="8" a="1"/>
  <c r="J5" i="8" s="1"/>
  <c r="K5" i="8" a="1"/>
  <c r="K5" i="8" s="1"/>
  <c r="L5" i="8" a="1"/>
  <c r="L5" i="8" s="1"/>
  <c r="M5" i="8" a="1"/>
  <c r="M5" i="8" s="1"/>
  <c r="N5" i="8" a="1"/>
  <c r="N5" i="8" s="1"/>
  <c r="O5" i="8" a="1"/>
  <c r="O5" i="8" s="1"/>
  <c r="P5" i="8" a="1"/>
  <c r="P5" i="8" s="1"/>
  <c r="Q5" i="8" a="1"/>
  <c r="Q5" i="8" s="1"/>
  <c r="R5" i="8" a="1"/>
  <c r="R5" i="8" s="1"/>
  <c r="S5" i="8" a="1"/>
  <c r="S5" i="8" s="1"/>
  <c r="T5" i="8" a="1"/>
  <c r="T5" i="8" s="1"/>
  <c r="U5" i="8" a="1"/>
  <c r="U5" i="8" s="1"/>
  <c r="B6" i="8" a="1"/>
  <c r="B6" i="8" s="1"/>
  <c r="C6" i="8" a="1"/>
  <c r="C6" i="8" s="1"/>
  <c r="D6" i="8" a="1"/>
  <c r="D6" i="8" s="1"/>
  <c r="E6" i="8" a="1"/>
  <c r="E6" i="8" s="1"/>
  <c r="G6" i="8" a="1"/>
  <c r="G6" i="8" s="1"/>
  <c r="H6" i="8" a="1"/>
  <c r="H6" i="8" s="1"/>
  <c r="I6" i="8" a="1"/>
  <c r="I6" i="8" s="1"/>
  <c r="J6" i="8" a="1"/>
  <c r="J6" i="8" s="1"/>
  <c r="K6" i="8" a="1"/>
  <c r="K6" i="8" s="1"/>
  <c r="L6" i="8" a="1"/>
  <c r="L6" i="8" s="1"/>
  <c r="M6" i="8" a="1"/>
  <c r="M6" i="8" s="1"/>
  <c r="N6" i="8" a="1"/>
  <c r="N6" i="8" s="1"/>
  <c r="O6" i="8" a="1"/>
  <c r="O6" i="8" s="1"/>
  <c r="P6" i="8" a="1"/>
  <c r="P6" i="8" s="1"/>
  <c r="Q6" i="8" a="1"/>
  <c r="Q6" i="8" s="1"/>
  <c r="R6" i="8" a="1"/>
  <c r="R6" i="8" s="1"/>
  <c r="S6" i="8" a="1"/>
  <c r="S6" i="8" s="1"/>
  <c r="T6" i="8" a="1"/>
  <c r="T6" i="8" s="1"/>
  <c r="U6" i="8" a="1"/>
  <c r="U6" i="8" s="1"/>
  <c r="B7" i="8" a="1"/>
  <c r="B7" i="8" s="1"/>
  <c r="C7" i="8" a="1"/>
  <c r="C7" i="8" s="1"/>
  <c r="D7" i="8" a="1"/>
  <c r="D7" i="8" s="1"/>
  <c r="E7" i="8" a="1"/>
  <c r="E7" i="8" s="1"/>
  <c r="F7" i="8" a="1"/>
  <c r="F7" i="8" s="1"/>
  <c r="H7" i="8" a="1"/>
  <c r="H7" i="8" s="1"/>
  <c r="I7" i="8" a="1"/>
  <c r="I7" i="8" s="1"/>
  <c r="J7" i="8" a="1"/>
  <c r="J7" i="8" s="1"/>
  <c r="K7" i="8" a="1"/>
  <c r="K7" i="8" s="1"/>
  <c r="L7" i="8" a="1"/>
  <c r="L7" i="8" s="1"/>
  <c r="M7" i="8" a="1"/>
  <c r="M7" i="8" s="1"/>
  <c r="N7" i="8" a="1"/>
  <c r="N7" i="8" s="1"/>
  <c r="O7" i="8" a="1"/>
  <c r="O7" i="8" s="1"/>
  <c r="P7" i="8" a="1"/>
  <c r="P7" i="8" s="1"/>
  <c r="Q7" i="8" a="1"/>
  <c r="Q7" i="8" s="1"/>
  <c r="R7" i="8" a="1"/>
  <c r="R7" i="8" s="1"/>
  <c r="S7" i="8" a="1"/>
  <c r="S7" i="8" s="1"/>
  <c r="T7" i="8" a="1"/>
  <c r="T7" i="8" s="1"/>
  <c r="U7" i="8" a="1"/>
  <c r="U7" i="8" s="1"/>
  <c r="B8" i="8" a="1"/>
  <c r="B8" i="8" s="1"/>
  <c r="C8" i="8" a="1"/>
  <c r="C8" i="8" s="1"/>
  <c r="D8" i="8" a="1"/>
  <c r="D8" i="8" s="1"/>
  <c r="E8" i="8" a="1"/>
  <c r="E8" i="8" s="1"/>
  <c r="F8" i="8" a="1"/>
  <c r="F8" i="8" s="1"/>
  <c r="G8" i="8" a="1"/>
  <c r="G8" i="8" s="1"/>
  <c r="I8" i="8" a="1"/>
  <c r="I8" i="8" s="1"/>
  <c r="J8" i="8" a="1"/>
  <c r="J8" i="8" s="1"/>
  <c r="K8" i="8" a="1"/>
  <c r="K8" i="8" s="1"/>
  <c r="L8" i="8" a="1"/>
  <c r="L8" i="8" s="1"/>
  <c r="M8" i="8" a="1"/>
  <c r="M8" i="8" s="1"/>
  <c r="N8" i="8" a="1"/>
  <c r="N8" i="8" s="1"/>
  <c r="O8" i="8" a="1"/>
  <c r="O8" i="8" s="1"/>
  <c r="P8" i="8" a="1"/>
  <c r="P8" i="8" s="1"/>
  <c r="Q8" i="8" a="1"/>
  <c r="Q8" i="8" s="1"/>
  <c r="R8" i="8" a="1"/>
  <c r="R8" i="8" s="1"/>
  <c r="S8" i="8" a="1"/>
  <c r="S8" i="8" s="1"/>
  <c r="T8" i="8" a="1"/>
  <c r="T8" i="8" s="1"/>
  <c r="U8" i="8" a="1"/>
  <c r="U8" i="8" s="1"/>
  <c r="B9" i="8" a="1"/>
  <c r="B9" i="8" s="1"/>
  <c r="C9" i="8" a="1"/>
  <c r="C9" i="8" s="1"/>
  <c r="D9" i="8" a="1"/>
  <c r="D9" i="8" s="1"/>
  <c r="E9" i="8" a="1"/>
  <c r="E9" i="8" s="1"/>
  <c r="F9" i="8" a="1"/>
  <c r="F9" i="8" s="1"/>
  <c r="G9" i="8" a="1"/>
  <c r="G9" i="8" s="1"/>
  <c r="H9" i="8" a="1"/>
  <c r="H9" i="8" s="1"/>
  <c r="J9" i="8" a="1"/>
  <c r="J9" i="8" s="1"/>
  <c r="K9" i="8" a="1"/>
  <c r="K9" i="8" s="1"/>
  <c r="L9" i="8" a="1"/>
  <c r="L9" i="8" s="1"/>
  <c r="M9" i="8" a="1"/>
  <c r="M9" i="8" s="1"/>
  <c r="N9" i="8" a="1"/>
  <c r="N9" i="8" s="1"/>
  <c r="O9" i="8" a="1"/>
  <c r="O9" i="8" s="1"/>
  <c r="P9" i="8" a="1"/>
  <c r="P9" i="8" s="1"/>
  <c r="Q9" i="8" a="1"/>
  <c r="Q9" i="8" s="1"/>
  <c r="R9" i="8" a="1"/>
  <c r="R9" i="8" s="1"/>
  <c r="S9" i="8" a="1"/>
  <c r="S9" i="8" s="1"/>
  <c r="T9" i="8" a="1"/>
  <c r="T9" i="8" s="1"/>
  <c r="U9" i="8" a="1"/>
  <c r="U9" i="8" s="1"/>
  <c r="B10" i="8" a="1"/>
  <c r="B10" i="8" s="1"/>
  <c r="C10" i="8" a="1"/>
  <c r="C10" i="8" s="1"/>
  <c r="D10" i="8" a="1"/>
  <c r="D10" i="8" s="1"/>
  <c r="E10" i="8" a="1"/>
  <c r="E10" i="8" s="1"/>
  <c r="F10" i="8" a="1"/>
  <c r="F10" i="8" s="1"/>
  <c r="G10" i="8" a="1"/>
  <c r="G10" i="8" s="1"/>
  <c r="H10" i="8" a="1"/>
  <c r="H10" i="8" s="1"/>
  <c r="I10" i="8" a="1"/>
  <c r="I10" i="8" s="1"/>
  <c r="K10" i="8" a="1"/>
  <c r="K10" i="8" s="1"/>
  <c r="L10" i="8" a="1"/>
  <c r="L10" i="8" s="1"/>
  <c r="M10" i="8" a="1"/>
  <c r="M10" i="8" s="1"/>
  <c r="N10" i="8" a="1"/>
  <c r="N10" i="8" s="1"/>
  <c r="O10" i="8" a="1"/>
  <c r="O10" i="8" s="1"/>
  <c r="P10" i="8" a="1"/>
  <c r="P10" i="8" s="1"/>
  <c r="Q10" i="8" a="1"/>
  <c r="Q10" i="8" s="1"/>
  <c r="R10" i="8" a="1"/>
  <c r="R10" i="8" s="1"/>
  <c r="S10" i="8" a="1"/>
  <c r="S10" i="8" s="1"/>
  <c r="T10" i="8" a="1"/>
  <c r="T10" i="8" s="1"/>
  <c r="U10" i="8" a="1"/>
  <c r="U10" i="8" s="1"/>
  <c r="B11" i="8" a="1"/>
  <c r="B11" i="8" s="1"/>
  <c r="C11" i="8" a="1"/>
  <c r="C11" i="8" s="1"/>
  <c r="D11" i="8" a="1"/>
  <c r="D11" i="8" s="1"/>
  <c r="E11" i="8" a="1"/>
  <c r="E11" i="8" s="1"/>
  <c r="F11" i="8" a="1"/>
  <c r="F11" i="8" s="1"/>
  <c r="G11" i="8" a="1"/>
  <c r="G11" i="8" s="1"/>
  <c r="H11" i="8" a="1"/>
  <c r="H11" i="8" s="1"/>
  <c r="I11" i="8" a="1"/>
  <c r="I11" i="8" s="1"/>
  <c r="J11" i="8" a="1"/>
  <c r="J11" i="8" s="1"/>
  <c r="L11" i="8" a="1"/>
  <c r="L11" i="8" s="1"/>
  <c r="M11" i="8" a="1"/>
  <c r="M11" i="8" s="1"/>
  <c r="N11" i="8" a="1"/>
  <c r="N11" i="8" s="1"/>
  <c r="O11" i="8" a="1"/>
  <c r="O11" i="8" s="1"/>
  <c r="P11" i="8" a="1"/>
  <c r="P11" i="8" s="1"/>
  <c r="Q11" i="8" a="1"/>
  <c r="Q11" i="8" s="1"/>
  <c r="R11" i="8" a="1"/>
  <c r="R11" i="8" s="1"/>
  <c r="S11" i="8" a="1"/>
  <c r="S11" i="8" s="1"/>
  <c r="T11" i="8" a="1"/>
  <c r="T11" i="8" s="1"/>
  <c r="U11" i="8" a="1"/>
  <c r="U11" i="8" s="1"/>
  <c r="B12" i="8" a="1"/>
  <c r="B12" i="8" s="1"/>
  <c r="C12" i="8" a="1"/>
  <c r="C12" i="8" s="1"/>
  <c r="D12" i="8" a="1"/>
  <c r="D12" i="8" s="1"/>
  <c r="E12" i="8" a="1"/>
  <c r="E12" i="8" s="1"/>
  <c r="F12" i="8" a="1"/>
  <c r="F12" i="8" s="1"/>
  <c r="G12" i="8" a="1"/>
  <c r="G12" i="8" s="1"/>
  <c r="H12" i="8" a="1"/>
  <c r="H12" i="8" s="1"/>
  <c r="I12" i="8" a="1"/>
  <c r="I12" i="8" s="1"/>
  <c r="J12" i="8" a="1"/>
  <c r="J12" i="8" s="1"/>
  <c r="K12" i="8" a="1"/>
  <c r="K12" i="8" s="1"/>
  <c r="M12" i="8" a="1"/>
  <c r="M12" i="8" s="1"/>
  <c r="N12" i="8" a="1"/>
  <c r="N12" i="8" s="1"/>
  <c r="O12" i="8" a="1"/>
  <c r="O12" i="8" s="1"/>
  <c r="P12" i="8" a="1"/>
  <c r="P12" i="8" s="1"/>
  <c r="Q12" i="8" a="1"/>
  <c r="Q12" i="8" s="1"/>
  <c r="R12" i="8" a="1"/>
  <c r="R12" i="8" s="1"/>
  <c r="S12" i="8" a="1"/>
  <c r="S12" i="8" s="1"/>
  <c r="T12" i="8" a="1"/>
  <c r="T12" i="8" s="1"/>
  <c r="U12" i="8" a="1"/>
  <c r="U12" i="8" s="1"/>
  <c r="B13" i="8" a="1"/>
  <c r="B13" i="8" s="1"/>
  <c r="C13" i="8" a="1"/>
  <c r="C13" i="8" s="1"/>
  <c r="D13" i="8" a="1"/>
  <c r="D13" i="8" s="1"/>
  <c r="E13" i="8" a="1"/>
  <c r="E13" i="8" s="1"/>
  <c r="F13" i="8" a="1"/>
  <c r="F13" i="8" s="1"/>
  <c r="G13" i="8" a="1"/>
  <c r="G13" i="8" s="1"/>
  <c r="H13" i="8" a="1"/>
  <c r="H13" i="8" s="1"/>
  <c r="I13" i="8" a="1"/>
  <c r="I13" i="8" s="1"/>
  <c r="J13" i="8" a="1"/>
  <c r="J13" i="8" s="1"/>
  <c r="K13" i="8" a="1"/>
  <c r="K13" i="8" s="1"/>
  <c r="L13" i="8" a="1"/>
  <c r="L13" i="8" s="1"/>
  <c r="N13" i="8" a="1"/>
  <c r="N13" i="8" s="1"/>
  <c r="O13" i="8" a="1"/>
  <c r="O13" i="8" s="1"/>
  <c r="P13" i="8" a="1"/>
  <c r="P13" i="8" s="1"/>
  <c r="Q13" i="8" a="1"/>
  <c r="Q13" i="8" s="1"/>
  <c r="R13" i="8" a="1"/>
  <c r="R13" i="8" s="1"/>
  <c r="S13" i="8" a="1"/>
  <c r="S13" i="8" s="1"/>
  <c r="T13" i="8" a="1"/>
  <c r="T13" i="8" s="1"/>
  <c r="U13" i="8" a="1"/>
  <c r="U13" i="8" s="1"/>
  <c r="B14" i="8" a="1"/>
  <c r="B14" i="8" s="1"/>
  <c r="C14" i="8" a="1"/>
  <c r="C14" i="8" s="1"/>
  <c r="D14" i="8" a="1"/>
  <c r="D14" i="8" s="1"/>
  <c r="E14" i="8" a="1"/>
  <c r="E14" i="8" s="1"/>
  <c r="F14" i="8" a="1"/>
  <c r="F14" i="8" s="1"/>
  <c r="G14" i="8" a="1"/>
  <c r="G14" i="8" s="1"/>
  <c r="H14" i="8" a="1"/>
  <c r="H14" i="8" s="1"/>
  <c r="I14" i="8" a="1"/>
  <c r="I14" i="8" s="1"/>
  <c r="J14" i="8" a="1"/>
  <c r="J14" i="8" s="1"/>
  <c r="K14" i="8" a="1"/>
  <c r="K14" i="8" s="1"/>
  <c r="L14" i="8" a="1"/>
  <c r="L14" i="8" s="1"/>
  <c r="M14" i="8" a="1"/>
  <c r="M14" i="8" s="1"/>
  <c r="O14" i="8" a="1"/>
  <c r="O14" i="8" s="1"/>
  <c r="P14" i="8" a="1"/>
  <c r="P14" i="8" s="1"/>
  <c r="Q14" i="8" a="1"/>
  <c r="Q14" i="8" s="1"/>
  <c r="R14" i="8" a="1"/>
  <c r="R14" i="8" s="1"/>
  <c r="S14" i="8" a="1"/>
  <c r="S14" i="8" s="1"/>
  <c r="T14" i="8" a="1"/>
  <c r="T14" i="8" s="1"/>
  <c r="U14" i="8" a="1"/>
  <c r="U14" i="8" s="1"/>
  <c r="B15" i="8" a="1"/>
  <c r="B15" i="8" s="1"/>
  <c r="C15" i="8" a="1"/>
  <c r="C15" i="8" s="1"/>
  <c r="D15" i="8" a="1"/>
  <c r="D15" i="8" s="1"/>
  <c r="E15" i="8" a="1"/>
  <c r="E15" i="8" s="1"/>
  <c r="F15" i="8" a="1"/>
  <c r="F15" i="8" s="1"/>
  <c r="G15" i="8" a="1"/>
  <c r="G15" i="8" s="1"/>
  <c r="H15" i="8" a="1"/>
  <c r="H15" i="8" s="1"/>
  <c r="I15" i="8" a="1"/>
  <c r="I15" i="8" s="1"/>
  <c r="J15" i="8" a="1"/>
  <c r="J15" i="8" s="1"/>
  <c r="K15" i="8" a="1"/>
  <c r="K15" i="8" s="1"/>
  <c r="L15" i="8" a="1"/>
  <c r="L15" i="8" s="1"/>
  <c r="M15" i="8" a="1"/>
  <c r="M15" i="8" s="1"/>
  <c r="N15" i="8" a="1"/>
  <c r="N15" i="8" s="1"/>
  <c r="P15" i="8" a="1"/>
  <c r="P15" i="8" s="1"/>
  <c r="Q15" i="8" a="1"/>
  <c r="Q15" i="8" s="1"/>
  <c r="R15" i="8" a="1"/>
  <c r="R15" i="8" s="1"/>
  <c r="S15" i="8" a="1"/>
  <c r="S15" i="8" s="1"/>
  <c r="T15" i="8" a="1"/>
  <c r="T15" i="8" s="1"/>
  <c r="U15" i="8" a="1"/>
  <c r="U15" i="8" s="1"/>
  <c r="B16" i="8" a="1"/>
  <c r="B16" i="8" s="1"/>
  <c r="C16" i="8" a="1"/>
  <c r="C16" i="8" s="1"/>
  <c r="D16" i="8" a="1"/>
  <c r="D16" i="8" s="1"/>
  <c r="E16" i="8" a="1"/>
  <c r="E16" i="8" s="1"/>
  <c r="F16" i="8" a="1"/>
  <c r="F16" i="8" s="1"/>
  <c r="G16" i="8" a="1"/>
  <c r="G16" i="8" s="1"/>
  <c r="H16" i="8" a="1"/>
  <c r="H16" i="8" s="1"/>
  <c r="I16" i="8" a="1"/>
  <c r="I16" i="8" s="1"/>
  <c r="J16" i="8" a="1"/>
  <c r="J16" i="8" s="1"/>
  <c r="K16" i="8" a="1"/>
  <c r="K16" i="8" s="1"/>
  <c r="L16" i="8" a="1"/>
  <c r="L16" i="8" s="1"/>
  <c r="M16" i="8" a="1"/>
  <c r="M16" i="8" s="1"/>
  <c r="N16" i="8" a="1"/>
  <c r="N16" i="8" s="1"/>
  <c r="O16" i="8" a="1"/>
  <c r="O16" i="8" s="1"/>
  <c r="Q16" i="8" a="1"/>
  <c r="Q16" i="8" s="1"/>
  <c r="R16" i="8" a="1"/>
  <c r="R16" i="8" s="1"/>
  <c r="S16" i="8" a="1"/>
  <c r="S16" i="8" s="1"/>
  <c r="T16" i="8" a="1"/>
  <c r="T16" i="8" s="1"/>
  <c r="U16" i="8" a="1"/>
  <c r="U16" i="8" s="1"/>
  <c r="B17" i="8" a="1"/>
  <c r="B17" i="8" s="1"/>
  <c r="C17" i="8" a="1"/>
  <c r="C17" i="8" s="1"/>
  <c r="D17" i="8" a="1"/>
  <c r="D17" i="8" s="1"/>
  <c r="E17" i="8" a="1"/>
  <c r="E17" i="8" s="1"/>
  <c r="F17" i="8" a="1"/>
  <c r="F17" i="8" s="1"/>
  <c r="G17" i="8" a="1"/>
  <c r="G17" i="8" s="1"/>
  <c r="H17" i="8" a="1"/>
  <c r="H17" i="8" s="1"/>
  <c r="I17" i="8" a="1"/>
  <c r="I17" i="8" s="1"/>
  <c r="J17" i="8" a="1"/>
  <c r="J17" i="8" s="1"/>
  <c r="K17" i="8" a="1"/>
  <c r="K17" i="8" s="1"/>
  <c r="L17" i="8" a="1"/>
  <c r="L17" i="8" s="1"/>
  <c r="M17" i="8" a="1"/>
  <c r="M17" i="8" s="1"/>
  <c r="N17" i="8" a="1"/>
  <c r="N17" i="8" s="1"/>
  <c r="O17" i="8" a="1"/>
  <c r="O17" i="8" s="1"/>
  <c r="P17" i="8" a="1"/>
  <c r="P17" i="8" s="1"/>
  <c r="R17" i="8" a="1"/>
  <c r="R17" i="8" s="1"/>
  <c r="S17" i="8" a="1"/>
  <c r="S17" i="8" s="1"/>
  <c r="T17" i="8" a="1"/>
  <c r="T17" i="8" s="1"/>
  <c r="U17" i="8" a="1"/>
  <c r="U17" i="8" s="1"/>
  <c r="B18" i="8" a="1"/>
  <c r="B18" i="8" s="1"/>
  <c r="C18" i="8" a="1"/>
  <c r="C18" i="8" s="1"/>
  <c r="D18" i="8" a="1"/>
  <c r="D18" i="8" s="1"/>
  <c r="E18" i="8" a="1"/>
  <c r="E18" i="8" s="1"/>
  <c r="F18" i="8" a="1"/>
  <c r="F18" i="8" s="1"/>
  <c r="G18" i="8" a="1"/>
  <c r="G18" i="8" s="1"/>
  <c r="H18" i="8" a="1"/>
  <c r="H18" i="8" s="1"/>
  <c r="I18" i="8" a="1"/>
  <c r="I18" i="8" s="1"/>
  <c r="J18" i="8" a="1"/>
  <c r="J18" i="8" s="1"/>
  <c r="K18" i="8" a="1"/>
  <c r="K18" i="8" s="1"/>
  <c r="L18" i="8" a="1"/>
  <c r="L18" i="8" s="1"/>
  <c r="M18" i="8" a="1"/>
  <c r="M18" i="8" s="1"/>
  <c r="N18" i="8" a="1"/>
  <c r="N18" i="8" s="1"/>
  <c r="O18" i="8" a="1"/>
  <c r="O18" i="8" s="1"/>
  <c r="P18" i="8" a="1"/>
  <c r="P18" i="8" s="1"/>
  <c r="Q18" i="8" a="1"/>
  <c r="Q18" i="8" s="1"/>
  <c r="S18" i="8" a="1"/>
  <c r="S18" i="8" s="1"/>
  <c r="T18" i="8" a="1"/>
  <c r="T18" i="8" s="1"/>
  <c r="U18" i="8" a="1"/>
  <c r="U18" i="8" s="1"/>
  <c r="B19" i="8" a="1"/>
  <c r="B19" i="8" s="1"/>
  <c r="C19" i="8" a="1"/>
  <c r="C19" i="8" s="1"/>
  <c r="D19" i="8" a="1"/>
  <c r="D19" i="8" s="1"/>
  <c r="E19" i="8" a="1"/>
  <c r="E19" i="8" s="1"/>
  <c r="F19" i="8" a="1"/>
  <c r="F19" i="8" s="1"/>
  <c r="G19" i="8" a="1"/>
  <c r="G19" i="8" s="1"/>
  <c r="H19" i="8" a="1"/>
  <c r="H19" i="8" s="1"/>
  <c r="I19" i="8" a="1"/>
  <c r="I19" i="8" s="1"/>
  <c r="J19" i="8" a="1"/>
  <c r="J19" i="8" s="1"/>
  <c r="K19" i="8" a="1"/>
  <c r="K19" i="8" s="1"/>
  <c r="L19" i="8" a="1"/>
  <c r="L19" i="8" s="1"/>
  <c r="M19" i="8" a="1"/>
  <c r="M19" i="8" s="1"/>
  <c r="N19" i="8" a="1"/>
  <c r="N19" i="8" s="1"/>
  <c r="O19" i="8" a="1"/>
  <c r="O19" i="8" s="1"/>
  <c r="P19" i="8" a="1"/>
  <c r="P19" i="8" s="1"/>
  <c r="Q19" i="8" a="1"/>
  <c r="Q19" i="8" s="1"/>
  <c r="R19" i="8" a="1"/>
  <c r="R19" i="8" s="1"/>
  <c r="T19" i="8" a="1"/>
  <c r="T19" i="8" s="1"/>
  <c r="U19" i="8" a="1"/>
  <c r="U19" i="8" s="1"/>
  <c r="B20" i="8" a="1"/>
  <c r="B20" i="8" s="1"/>
  <c r="C20" i="8" a="1"/>
  <c r="C20" i="8" s="1"/>
  <c r="D20" i="8" a="1"/>
  <c r="D20" i="8" s="1"/>
  <c r="E20" i="8" a="1"/>
  <c r="E20" i="8" s="1"/>
  <c r="F20" i="8" a="1"/>
  <c r="F20" i="8" s="1"/>
  <c r="G20" i="8" a="1"/>
  <c r="G20" i="8" s="1"/>
  <c r="H20" i="8" a="1"/>
  <c r="H20" i="8" s="1"/>
  <c r="I20" i="8" a="1"/>
  <c r="I20" i="8" s="1"/>
  <c r="J20" i="8" a="1"/>
  <c r="J20" i="8" s="1"/>
  <c r="K20" i="8" a="1"/>
  <c r="K20" i="8" s="1"/>
  <c r="L20" i="8" a="1"/>
  <c r="L20" i="8" s="1"/>
  <c r="M20" i="8" a="1"/>
  <c r="M20" i="8" s="1"/>
  <c r="N20" i="8" a="1"/>
  <c r="N20" i="8" s="1"/>
  <c r="O20" i="8" a="1"/>
  <c r="O20" i="8" s="1"/>
  <c r="P20" i="8" a="1"/>
  <c r="P20" i="8" s="1"/>
  <c r="Q20" i="8" a="1"/>
  <c r="Q20" i="8" s="1"/>
  <c r="R20" i="8" a="1"/>
  <c r="R20" i="8" s="1"/>
  <c r="S20" i="8" a="1"/>
  <c r="S20" i="8" s="1"/>
  <c r="U20" i="8" a="1"/>
  <c r="U20" i="8" s="1"/>
  <c r="B21" i="8" a="1"/>
  <c r="B21" i="8" s="1"/>
  <c r="C21" i="8" a="1"/>
  <c r="C21" i="8" s="1"/>
  <c r="D21" i="8" a="1"/>
  <c r="D21" i="8" s="1"/>
  <c r="E21" i="8" a="1"/>
  <c r="E21" i="8" s="1"/>
  <c r="F21" i="8" a="1"/>
  <c r="F21" i="8" s="1"/>
  <c r="G21" i="8" a="1"/>
  <c r="G21" i="8" s="1"/>
  <c r="H21" i="8" a="1"/>
  <c r="H21" i="8" s="1"/>
  <c r="I21" i="8" a="1"/>
  <c r="I21" i="8" s="1"/>
  <c r="J21" i="8" a="1"/>
  <c r="J21" i="8" s="1"/>
  <c r="K21" i="8" a="1"/>
  <c r="K21" i="8" s="1"/>
  <c r="L21" i="8" a="1"/>
  <c r="L21" i="8" s="1"/>
  <c r="M21" i="8" a="1"/>
  <c r="M21" i="8" s="1"/>
  <c r="N21" i="8" a="1"/>
  <c r="N21" i="8" s="1"/>
  <c r="O21" i="8" a="1"/>
  <c r="O21" i="8" s="1"/>
  <c r="P21" i="8" a="1"/>
  <c r="P21" i="8" s="1"/>
  <c r="Q21" i="8" a="1"/>
  <c r="Q21" i="8" s="1"/>
  <c r="R21" i="8" a="1"/>
  <c r="R21" i="8" s="1"/>
  <c r="S21" i="8" a="1"/>
  <c r="S21" i="8" s="1"/>
  <c r="T21" i="8" a="1"/>
  <c r="T21" i="8" s="1"/>
  <c r="C2" i="8" a="1"/>
  <c r="C2" i="8" s="1"/>
  <c r="D2" i="8" a="1"/>
  <c r="D2" i="8" s="1"/>
  <c r="E2" i="8" a="1"/>
  <c r="E2" i="8" s="1"/>
  <c r="F2" i="8" a="1"/>
  <c r="F2" i="8" s="1"/>
  <c r="G2" i="8" a="1"/>
  <c r="G2" i="8" s="1"/>
  <c r="H2" i="8" a="1"/>
  <c r="H2" i="8" s="1"/>
  <c r="I2" i="8" a="1"/>
  <c r="I2" i="8" s="1"/>
  <c r="J2" i="8" a="1"/>
  <c r="J2" i="8" s="1"/>
  <c r="K2" i="8" a="1"/>
  <c r="K2" i="8" s="1"/>
  <c r="L2" i="8" a="1"/>
  <c r="L2" i="8" s="1"/>
  <c r="M2" i="8" a="1"/>
  <c r="M2" i="8" s="1"/>
  <c r="N2" i="8" a="1"/>
  <c r="N2" i="8" s="1"/>
  <c r="O2" i="8" a="1"/>
  <c r="O2" i="8" s="1"/>
  <c r="P2" i="8" a="1"/>
  <c r="P2" i="8" s="1"/>
  <c r="Q2" i="8" a="1"/>
  <c r="Q2" i="8" s="1"/>
  <c r="R2" i="8" a="1"/>
  <c r="R2" i="8" s="1"/>
  <c r="S2" i="8" a="1"/>
  <c r="S2" i="8" s="1"/>
  <c r="T2" i="8" a="1"/>
  <c r="T2" i="8" s="1"/>
  <c r="U2" i="8" a="1"/>
  <c r="U2" i="8" s="1"/>
  <c r="U21" i="8" a="1"/>
  <c r="U21" i="8" s="1"/>
  <c r="T20" i="8" a="1"/>
  <c r="T20" i="8" s="1"/>
  <c r="S19" i="8" a="1"/>
  <c r="S19" i="8" s="1"/>
  <c r="R18" i="8" a="1"/>
  <c r="R18" i="8" s="1"/>
  <c r="Q17" i="8" a="1"/>
  <c r="Q17" i="8" s="1"/>
  <c r="P16" i="8" a="1"/>
  <c r="P16" i="8" s="1"/>
  <c r="O15" i="8" a="1"/>
  <c r="O15" i="8" s="1"/>
  <c r="N14" i="8" a="1"/>
  <c r="N14" i="8" s="1"/>
  <c r="M13" i="8" a="1"/>
  <c r="M13" i="8" s="1"/>
  <c r="L12" i="8" a="1"/>
  <c r="L12" i="8" s="1"/>
  <c r="K11" i="8" a="1"/>
  <c r="K11" i="8" s="1"/>
  <c r="J10" i="8" a="1"/>
  <c r="J10" i="8" s="1"/>
  <c r="I9" i="8" a="1"/>
  <c r="I9" i="8" s="1"/>
  <c r="H8" i="8" a="1"/>
  <c r="H8" i="8" s="1"/>
  <c r="G7" i="8" a="1"/>
  <c r="G7" i="8" s="1"/>
  <c r="F6" i="8" a="1"/>
  <c r="F6" i="8" s="1"/>
  <c r="E5" i="8" a="1"/>
  <c r="E5" i="8" s="1"/>
  <c r="D4" i="8" a="1"/>
  <c r="D4" i="8" s="1"/>
  <c r="C3" i="8" a="1"/>
  <c r="C3" i="8" s="1"/>
  <c r="B2" i="8" a="1"/>
  <c r="B2" i="8" s="1"/>
  <c r="C2" i="5"/>
  <c r="B5" i="5"/>
  <c r="B4" i="9" s="1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B8" i="5"/>
  <c r="B7" i="9" s="1"/>
  <c r="B22" i="5"/>
  <c r="B21" i="7" s="1"/>
  <c r="B21" i="5"/>
  <c r="B20" i="7" s="1"/>
  <c r="B20" i="5"/>
  <c r="B19" i="7" s="1"/>
  <c r="B19" i="5"/>
  <c r="B18" i="9" s="1"/>
  <c r="B18" i="5"/>
  <c r="B17" i="9" s="1"/>
  <c r="B17" i="5"/>
  <c r="B16" i="9" s="1"/>
  <c r="B16" i="5"/>
  <c r="B15" i="9" s="1"/>
  <c r="B15" i="5"/>
  <c r="B14" i="9" s="1"/>
  <c r="B14" i="5"/>
  <c r="B13" i="7" s="1"/>
  <c r="B13" i="5"/>
  <c r="B12" i="7" s="1"/>
  <c r="B12" i="5"/>
  <c r="B11" i="7" s="1"/>
  <c r="B11" i="5"/>
  <c r="B10" i="7" s="1"/>
  <c r="B10" i="5"/>
  <c r="B9" i="7" s="1"/>
  <c r="B9" i="5"/>
  <c r="B8" i="9" s="1"/>
  <c r="B7" i="5"/>
  <c r="B6" i="9" s="1"/>
  <c r="B6" i="5"/>
  <c r="B5" i="9" s="1"/>
  <c r="B4" i="5"/>
  <c r="B3" i="7" s="1"/>
  <c r="B3" i="5"/>
  <c r="B2" i="9" s="1"/>
  <c r="B2" i="5"/>
  <c r="D3" i="4"/>
  <c r="D2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2" i="4"/>
  <c r="C3" i="2"/>
  <c r="C3" i="3" s="1"/>
  <c r="D3" i="2"/>
  <c r="D3" i="3" s="1"/>
  <c r="E3" i="2"/>
  <c r="E3" i="3" s="1"/>
  <c r="F3" i="2"/>
  <c r="F3" i="3" s="1"/>
  <c r="G3" i="2"/>
  <c r="G3" i="3" s="1"/>
  <c r="H3" i="2"/>
  <c r="I3" i="2"/>
  <c r="J3" i="2"/>
  <c r="J3" i="3" s="1"/>
  <c r="K3" i="2"/>
  <c r="K3" i="3" s="1"/>
  <c r="L3" i="2"/>
  <c r="M3" i="2"/>
  <c r="M3" i="3" s="1"/>
  <c r="N3" i="2"/>
  <c r="N3" i="3" s="1"/>
  <c r="O3" i="2"/>
  <c r="O3" i="3" s="1"/>
  <c r="P3" i="2"/>
  <c r="P3" i="3" s="1"/>
  <c r="Q3" i="2"/>
  <c r="Q3" i="3" s="1"/>
  <c r="R3" i="2"/>
  <c r="S3" i="2"/>
  <c r="S3" i="3" s="1"/>
  <c r="T3" i="2"/>
  <c r="T3" i="3" s="1"/>
  <c r="U3" i="2"/>
  <c r="U3" i="3" s="1"/>
  <c r="V3" i="2"/>
  <c r="V3" i="3" s="1"/>
  <c r="C4" i="2"/>
  <c r="C4" i="3" s="1"/>
  <c r="D4" i="2"/>
  <c r="D4" i="3" s="1"/>
  <c r="E4" i="2"/>
  <c r="E4" i="3" s="1"/>
  <c r="F4" i="2"/>
  <c r="F4" i="3" s="1"/>
  <c r="G4" i="2"/>
  <c r="G4" i="3" s="1"/>
  <c r="H4" i="2"/>
  <c r="H4" i="3" s="1"/>
  <c r="I4" i="2"/>
  <c r="I4" i="3" s="1"/>
  <c r="J4" i="2"/>
  <c r="J4" i="3" s="1"/>
  <c r="K4" i="2"/>
  <c r="K4" i="3" s="1"/>
  <c r="L4" i="2"/>
  <c r="M4" i="2"/>
  <c r="M4" i="3" s="1"/>
  <c r="N4" i="2"/>
  <c r="N4" i="3" s="1"/>
  <c r="O4" i="2"/>
  <c r="O4" i="3" s="1"/>
  <c r="P4" i="2"/>
  <c r="P4" i="3" s="1"/>
  <c r="Q4" i="2"/>
  <c r="Q4" i="3" s="1"/>
  <c r="R4" i="2"/>
  <c r="R4" i="3" s="1"/>
  <c r="S4" i="2"/>
  <c r="S4" i="3" s="1"/>
  <c r="T4" i="2"/>
  <c r="T4" i="3" s="1"/>
  <c r="U4" i="2"/>
  <c r="U4" i="3" s="1"/>
  <c r="V4" i="2"/>
  <c r="V4" i="3" s="1"/>
  <c r="C5" i="2"/>
  <c r="C5" i="3" s="1"/>
  <c r="D5" i="2"/>
  <c r="D5" i="3" s="1"/>
  <c r="E5" i="2"/>
  <c r="E5" i="3" s="1"/>
  <c r="F5" i="2"/>
  <c r="F5" i="3" s="1"/>
  <c r="G5" i="2"/>
  <c r="G5" i="3" s="1"/>
  <c r="H5" i="2"/>
  <c r="H5" i="3" s="1"/>
  <c r="I5" i="2"/>
  <c r="I5" i="3" s="1"/>
  <c r="J5" i="2"/>
  <c r="J5" i="3" s="1"/>
  <c r="K5" i="2"/>
  <c r="K5" i="3" s="1"/>
  <c r="L5" i="2"/>
  <c r="L5" i="3" s="1"/>
  <c r="M5" i="2"/>
  <c r="M5" i="3" s="1"/>
  <c r="N5" i="2"/>
  <c r="N5" i="3" s="1"/>
  <c r="O5" i="2"/>
  <c r="O5" i="3" s="1"/>
  <c r="P5" i="2"/>
  <c r="P5" i="3" s="1"/>
  <c r="Q5" i="2"/>
  <c r="Q5" i="3" s="1"/>
  <c r="R5" i="2"/>
  <c r="R5" i="3" s="1"/>
  <c r="S5" i="2"/>
  <c r="S5" i="3" s="1"/>
  <c r="T5" i="2"/>
  <c r="T5" i="3" s="1"/>
  <c r="U5" i="2"/>
  <c r="U5" i="3" s="1"/>
  <c r="V5" i="2"/>
  <c r="V5" i="3" s="1"/>
  <c r="C6" i="2"/>
  <c r="C6" i="3" s="1"/>
  <c r="D6" i="2"/>
  <c r="D6" i="3" s="1"/>
  <c r="E6" i="2"/>
  <c r="E6" i="3" s="1"/>
  <c r="F6" i="2"/>
  <c r="F6" i="3" s="1"/>
  <c r="G6" i="2"/>
  <c r="G6" i="3" s="1"/>
  <c r="H6" i="2"/>
  <c r="H6" i="3" s="1"/>
  <c r="I6" i="2"/>
  <c r="I6" i="3" s="1"/>
  <c r="J6" i="2"/>
  <c r="J6" i="3" s="1"/>
  <c r="K6" i="2"/>
  <c r="K6" i="3" s="1"/>
  <c r="L6" i="2"/>
  <c r="L6" i="3" s="1"/>
  <c r="M6" i="2"/>
  <c r="M6" i="3" s="1"/>
  <c r="N6" i="2"/>
  <c r="N6" i="3" s="1"/>
  <c r="O6" i="2"/>
  <c r="O6" i="3" s="1"/>
  <c r="P6" i="2"/>
  <c r="P6" i="3" s="1"/>
  <c r="Q6" i="2"/>
  <c r="Q6" i="3" s="1"/>
  <c r="R6" i="2"/>
  <c r="R6" i="3" s="1"/>
  <c r="S6" i="2"/>
  <c r="S6" i="3" s="1"/>
  <c r="T6" i="2"/>
  <c r="T6" i="3" s="1"/>
  <c r="U6" i="2"/>
  <c r="U6" i="3" s="1"/>
  <c r="V6" i="2"/>
  <c r="C7" i="2"/>
  <c r="C7" i="3" s="1"/>
  <c r="D7" i="2"/>
  <c r="D7" i="3" s="1"/>
  <c r="E7" i="2"/>
  <c r="E7" i="3" s="1"/>
  <c r="F7" i="2"/>
  <c r="F7" i="3" s="1"/>
  <c r="G7" i="2"/>
  <c r="G7" i="3" s="1"/>
  <c r="H7" i="2"/>
  <c r="H7" i="3" s="1"/>
  <c r="I7" i="2"/>
  <c r="I7" i="3" s="1"/>
  <c r="J7" i="2"/>
  <c r="J7" i="3" s="1"/>
  <c r="K7" i="2"/>
  <c r="K7" i="3" s="1"/>
  <c r="L7" i="2"/>
  <c r="L7" i="3" s="1"/>
  <c r="M7" i="2"/>
  <c r="M7" i="3" s="1"/>
  <c r="N7" i="2"/>
  <c r="N7" i="3" s="1"/>
  <c r="O7" i="2"/>
  <c r="O7" i="3" s="1"/>
  <c r="P7" i="2"/>
  <c r="P7" i="3" s="1"/>
  <c r="Q7" i="2"/>
  <c r="Q7" i="3" s="1"/>
  <c r="R7" i="2"/>
  <c r="R7" i="3" s="1"/>
  <c r="S7" i="2"/>
  <c r="S7" i="3" s="1"/>
  <c r="T7" i="2"/>
  <c r="T7" i="3" s="1"/>
  <c r="U7" i="2"/>
  <c r="U7" i="3" s="1"/>
  <c r="V7" i="2"/>
  <c r="V7" i="3" s="1"/>
  <c r="C8" i="2"/>
  <c r="C8" i="3" s="1"/>
  <c r="D8" i="2"/>
  <c r="D8" i="3" s="1"/>
  <c r="E8" i="2"/>
  <c r="E8" i="3" s="1"/>
  <c r="F8" i="2"/>
  <c r="F8" i="3" s="1"/>
  <c r="G8" i="2"/>
  <c r="G8" i="3" s="1"/>
  <c r="H8" i="2"/>
  <c r="H8" i="3" s="1"/>
  <c r="I8" i="2"/>
  <c r="I8" i="3" s="1"/>
  <c r="J8" i="2"/>
  <c r="J8" i="3" s="1"/>
  <c r="K8" i="2"/>
  <c r="K8" i="3" s="1"/>
  <c r="L8" i="2"/>
  <c r="L8" i="3" s="1"/>
  <c r="M8" i="2"/>
  <c r="M8" i="3" s="1"/>
  <c r="N8" i="2"/>
  <c r="N8" i="3" s="1"/>
  <c r="O8" i="2"/>
  <c r="O8" i="3" s="1"/>
  <c r="P8" i="2"/>
  <c r="P8" i="3" s="1"/>
  <c r="Q8" i="2"/>
  <c r="Q8" i="3" s="1"/>
  <c r="R8" i="2"/>
  <c r="R8" i="3" s="1"/>
  <c r="S8" i="2"/>
  <c r="S8" i="3" s="1"/>
  <c r="T8" i="2"/>
  <c r="T8" i="3" s="1"/>
  <c r="U8" i="2"/>
  <c r="U8" i="3" s="1"/>
  <c r="V8" i="2"/>
  <c r="V8" i="3" s="1"/>
  <c r="C9" i="2"/>
  <c r="C9" i="3" s="1"/>
  <c r="D9" i="2"/>
  <c r="D9" i="3" s="1"/>
  <c r="E9" i="2"/>
  <c r="E9" i="3" s="1"/>
  <c r="F9" i="2"/>
  <c r="F9" i="3" s="1"/>
  <c r="G9" i="2"/>
  <c r="G9" i="3" s="1"/>
  <c r="H9" i="2"/>
  <c r="H9" i="3" s="1"/>
  <c r="I9" i="2"/>
  <c r="I9" i="3" s="1"/>
  <c r="J9" i="2"/>
  <c r="J9" i="3" s="1"/>
  <c r="K9" i="2"/>
  <c r="K9" i="3" s="1"/>
  <c r="L9" i="2"/>
  <c r="L9" i="3" s="1"/>
  <c r="M9" i="2"/>
  <c r="M9" i="3" s="1"/>
  <c r="N9" i="2"/>
  <c r="N9" i="3" s="1"/>
  <c r="O9" i="2"/>
  <c r="O9" i="3" s="1"/>
  <c r="P9" i="2"/>
  <c r="P9" i="3" s="1"/>
  <c r="Q9" i="2"/>
  <c r="Q9" i="3" s="1"/>
  <c r="R9" i="2"/>
  <c r="R9" i="3" s="1"/>
  <c r="S9" i="2"/>
  <c r="S9" i="3" s="1"/>
  <c r="T9" i="2"/>
  <c r="T9" i="3" s="1"/>
  <c r="U9" i="2"/>
  <c r="U9" i="3" s="1"/>
  <c r="V9" i="2"/>
  <c r="V9" i="3" s="1"/>
  <c r="C10" i="2"/>
  <c r="C10" i="3" s="1"/>
  <c r="D10" i="2"/>
  <c r="D10" i="3" s="1"/>
  <c r="E10" i="2"/>
  <c r="E10" i="3" s="1"/>
  <c r="F10" i="2"/>
  <c r="F10" i="3" s="1"/>
  <c r="G10" i="2"/>
  <c r="G10" i="3" s="1"/>
  <c r="H10" i="2"/>
  <c r="H10" i="3" s="1"/>
  <c r="I10" i="2"/>
  <c r="I10" i="3" s="1"/>
  <c r="J10" i="2"/>
  <c r="J10" i="3" s="1"/>
  <c r="K10" i="2"/>
  <c r="K10" i="3" s="1"/>
  <c r="L10" i="2"/>
  <c r="L10" i="3" s="1"/>
  <c r="M10" i="2"/>
  <c r="M10" i="3" s="1"/>
  <c r="N10" i="2"/>
  <c r="N10" i="3" s="1"/>
  <c r="O10" i="2"/>
  <c r="O10" i="3" s="1"/>
  <c r="P10" i="2"/>
  <c r="P10" i="3" s="1"/>
  <c r="Q10" i="2"/>
  <c r="Q10" i="3" s="1"/>
  <c r="R10" i="2"/>
  <c r="R10" i="3" s="1"/>
  <c r="S10" i="2"/>
  <c r="S10" i="3" s="1"/>
  <c r="T10" i="2"/>
  <c r="T10" i="3" s="1"/>
  <c r="U10" i="2"/>
  <c r="U10" i="3" s="1"/>
  <c r="V10" i="2"/>
  <c r="V10" i="3" s="1"/>
  <c r="C11" i="2"/>
  <c r="C11" i="3" s="1"/>
  <c r="D11" i="2"/>
  <c r="D11" i="3" s="1"/>
  <c r="E11" i="2"/>
  <c r="E11" i="3" s="1"/>
  <c r="F11" i="2"/>
  <c r="F11" i="3" s="1"/>
  <c r="G11" i="2"/>
  <c r="G11" i="3" s="1"/>
  <c r="H11" i="2"/>
  <c r="H11" i="3" s="1"/>
  <c r="I11" i="2"/>
  <c r="I11" i="3" s="1"/>
  <c r="J11" i="2"/>
  <c r="J11" i="3" s="1"/>
  <c r="K11" i="2"/>
  <c r="K11" i="3" s="1"/>
  <c r="L11" i="2"/>
  <c r="L11" i="3" s="1"/>
  <c r="M11" i="2"/>
  <c r="M11" i="3" s="1"/>
  <c r="N11" i="2"/>
  <c r="N11" i="3" s="1"/>
  <c r="O11" i="2"/>
  <c r="O11" i="3" s="1"/>
  <c r="P11" i="2"/>
  <c r="P11" i="3" s="1"/>
  <c r="Q11" i="2"/>
  <c r="Q11" i="3" s="1"/>
  <c r="R11" i="2"/>
  <c r="R11" i="3" s="1"/>
  <c r="S11" i="2"/>
  <c r="S11" i="3" s="1"/>
  <c r="T11" i="2"/>
  <c r="T11" i="3" s="1"/>
  <c r="U11" i="2"/>
  <c r="U11" i="3" s="1"/>
  <c r="V11" i="2"/>
  <c r="V11" i="3" s="1"/>
  <c r="C12" i="2"/>
  <c r="C12" i="3" s="1"/>
  <c r="D12" i="2"/>
  <c r="D12" i="3" s="1"/>
  <c r="E12" i="2"/>
  <c r="E12" i="3" s="1"/>
  <c r="F12" i="2"/>
  <c r="F12" i="3" s="1"/>
  <c r="G12" i="2"/>
  <c r="G12" i="3" s="1"/>
  <c r="H12" i="2"/>
  <c r="H12" i="3" s="1"/>
  <c r="I12" i="2"/>
  <c r="I12" i="3" s="1"/>
  <c r="J12" i="2"/>
  <c r="J12" i="3" s="1"/>
  <c r="K12" i="2"/>
  <c r="K12" i="3" s="1"/>
  <c r="L12" i="2"/>
  <c r="L12" i="3" s="1"/>
  <c r="M12" i="2"/>
  <c r="M12" i="3" s="1"/>
  <c r="N12" i="2"/>
  <c r="N12" i="3" s="1"/>
  <c r="O12" i="2"/>
  <c r="O12" i="3" s="1"/>
  <c r="P12" i="2"/>
  <c r="P12" i="3" s="1"/>
  <c r="Q12" i="2"/>
  <c r="Q12" i="3" s="1"/>
  <c r="R12" i="2"/>
  <c r="R12" i="3" s="1"/>
  <c r="S12" i="2"/>
  <c r="S12" i="3" s="1"/>
  <c r="T12" i="2"/>
  <c r="T12" i="3" s="1"/>
  <c r="U12" i="2"/>
  <c r="U12" i="3" s="1"/>
  <c r="V12" i="2"/>
  <c r="V12" i="3" s="1"/>
  <c r="C13" i="2"/>
  <c r="C13" i="3" s="1"/>
  <c r="D13" i="2"/>
  <c r="D13" i="3" s="1"/>
  <c r="E13" i="2"/>
  <c r="E13" i="3" s="1"/>
  <c r="F13" i="2"/>
  <c r="F13" i="3" s="1"/>
  <c r="G13" i="2"/>
  <c r="G13" i="3" s="1"/>
  <c r="H13" i="2"/>
  <c r="H13" i="3" s="1"/>
  <c r="I13" i="2"/>
  <c r="I13" i="3" s="1"/>
  <c r="J13" i="2"/>
  <c r="J13" i="3" s="1"/>
  <c r="K13" i="2"/>
  <c r="K13" i="3" s="1"/>
  <c r="L13" i="2"/>
  <c r="L13" i="3" s="1"/>
  <c r="M13" i="2"/>
  <c r="M13" i="3" s="1"/>
  <c r="N13" i="2"/>
  <c r="N13" i="3" s="1"/>
  <c r="O13" i="2"/>
  <c r="O13" i="3" s="1"/>
  <c r="P13" i="2"/>
  <c r="P13" i="3" s="1"/>
  <c r="Q13" i="2"/>
  <c r="Q13" i="3" s="1"/>
  <c r="R13" i="2"/>
  <c r="R13" i="3" s="1"/>
  <c r="S13" i="2"/>
  <c r="S13" i="3" s="1"/>
  <c r="T13" i="2"/>
  <c r="T13" i="3" s="1"/>
  <c r="U13" i="2"/>
  <c r="U13" i="3" s="1"/>
  <c r="V13" i="2"/>
  <c r="V13" i="3" s="1"/>
  <c r="C14" i="2"/>
  <c r="C14" i="3" s="1"/>
  <c r="D14" i="2"/>
  <c r="D14" i="3" s="1"/>
  <c r="E14" i="2"/>
  <c r="E14" i="3" s="1"/>
  <c r="F14" i="2"/>
  <c r="F14" i="3" s="1"/>
  <c r="G14" i="2"/>
  <c r="G14" i="3" s="1"/>
  <c r="H14" i="2"/>
  <c r="H14" i="3" s="1"/>
  <c r="I14" i="2"/>
  <c r="I14" i="3" s="1"/>
  <c r="J14" i="2"/>
  <c r="J14" i="3" s="1"/>
  <c r="K14" i="2"/>
  <c r="K14" i="3" s="1"/>
  <c r="L14" i="2"/>
  <c r="L14" i="3" s="1"/>
  <c r="M14" i="2"/>
  <c r="M14" i="3" s="1"/>
  <c r="N14" i="2"/>
  <c r="N14" i="3" s="1"/>
  <c r="O14" i="2"/>
  <c r="O14" i="3" s="1"/>
  <c r="P14" i="2"/>
  <c r="P14" i="3" s="1"/>
  <c r="Q14" i="2"/>
  <c r="Q14" i="3" s="1"/>
  <c r="R14" i="2"/>
  <c r="R14" i="3" s="1"/>
  <c r="S14" i="2"/>
  <c r="S14" i="3" s="1"/>
  <c r="T14" i="2"/>
  <c r="T14" i="3" s="1"/>
  <c r="U14" i="2"/>
  <c r="U14" i="3" s="1"/>
  <c r="V14" i="2"/>
  <c r="V14" i="3" s="1"/>
  <c r="C15" i="2"/>
  <c r="C15" i="3" s="1"/>
  <c r="D15" i="2"/>
  <c r="D15" i="3" s="1"/>
  <c r="E15" i="2"/>
  <c r="E15" i="3" s="1"/>
  <c r="F15" i="2"/>
  <c r="F15" i="3" s="1"/>
  <c r="G15" i="2"/>
  <c r="G15" i="3" s="1"/>
  <c r="H15" i="2"/>
  <c r="H15" i="3" s="1"/>
  <c r="I15" i="2"/>
  <c r="I15" i="3" s="1"/>
  <c r="J15" i="2"/>
  <c r="J15" i="3" s="1"/>
  <c r="K15" i="2"/>
  <c r="K15" i="3" s="1"/>
  <c r="L15" i="2"/>
  <c r="L15" i="3" s="1"/>
  <c r="M15" i="2"/>
  <c r="M15" i="3" s="1"/>
  <c r="N15" i="2"/>
  <c r="N15" i="3" s="1"/>
  <c r="O15" i="2"/>
  <c r="O15" i="3" s="1"/>
  <c r="P15" i="2"/>
  <c r="P15" i="3" s="1"/>
  <c r="Q15" i="2"/>
  <c r="Q15" i="3" s="1"/>
  <c r="R15" i="2"/>
  <c r="R15" i="3" s="1"/>
  <c r="S15" i="2"/>
  <c r="S15" i="3" s="1"/>
  <c r="T15" i="2"/>
  <c r="T15" i="3" s="1"/>
  <c r="U15" i="2"/>
  <c r="U15" i="3" s="1"/>
  <c r="V15" i="2"/>
  <c r="V15" i="3" s="1"/>
  <c r="C16" i="2"/>
  <c r="C16" i="3" s="1"/>
  <c r="D16" i="2"/>
  <c r="D16" i="3" s="1"/>
  <c r="E16" i="2"/>
  <c r="E16" i="3" s="1"/>
  <c r="F16" i="2"/>
  <c r="F16" i="3" s="1"/>
  <c r="G16" i="2"/>
  <c r="G16" i="3" s="1"/>
  <c r="H16" i="2"/>
  <c r="H16" i="3" s="1"/>
  <c r="I16" i="2"/>
  <c r="I16" i="3" s="1"/>
  <c r="J16" i="2"/>
  <c r="J16" i="3" s="1"/>
  <c r="K16" i="2"/>
  <c r="K16" i="3" s="1"/>
  <c r="L16" i="2"/>
  <c r="L16" i="3" s="1"/>
  <c r="M16" i="2"/>
  <c r="M16" i="3" s="1"/>
  <c r="N16" i="2"/>
  <c r="N16" i="3" s="1"/>
  <c r="O16" i="2"/>
  <c r="O16" i="3" s="1"/>
  <c r="P16" i="2"/>
  <c r="P16" i="3" s="1"/>
  <c r="Q16" i="2"/>
  <c r="Q16" i="3" s="1"/>
  <c r="R16" i="2"/>
  <c r="R16" i="3" s="1"/>
  <c r="S16" i="2"/>
  <c r="S16" i="3" s="1"/>
  <c r="T16" i="2"/>
  <c r="T16" i="3" s="1"/>
  <c r="U16" i="2"/>
  <c r="U16" i="3" s="1"/>
  <c r="V16" i="2"/>
  <c r="V16" i="3" s="1"/>
  <c r="C17" i="2"/>
  <c r="C17" i="3" s="1"/>
  <c r="D17" i="2"/>
  <c r="D17" i="3" s="1"/>
  <c r="E17" i="2"/>
  <c r="E17" i="3" s="1"/>
  <c r="F17" i="2"/>
  <c r="F17" i="3" s="1"/>
  <c r="G17" i="2"/>
  <c r="G17" i="3" s="1"/>
  <c r="H17" i="2"/>
  <c r="H17" i="3" s="1"/>
  <c r="I17" i="2"/>
  <c r="I17" i="3" s="1"/>
  <c r="J17" i="2"/>
  <c r="J17" i="3" s="1"/>
  <c r="K17" i="2"/>
  <c r="K17" i="3" s="1"/>
  <c r="L17" i="2"/>
  <c r="L17" i="3" s="1"/>
  <c r="M17" i="2"/>
  <c r="M17" i="3" s="1"/>
  <c r="N17" i="2"/>
  <c r="N17" i="3" s="1"/>
  <c r="O17" i="2"/>
  <c r="O17" i="3" s="1"/>
  <c r="P17" i="2"/>
  <c r="P17" i="3" s="1"/>
  <c r="Q17" i="2"/>
  <c r="Q17" i="3" s="1"/>
  <c r="R17" i="2"/>
  <c r="R17" i="3" s="1"/>
  <c r="S17" i="2"/>
  <c r="S17" i="3" s="1"/>
  <c r="T17" i="2"/>
  <c r="T17" i="3" s="1"/>
  <c r="U17" i="2"/>
  <c r="U17" i="3" s="1"/>
  <c r="V17" i="2"/>
  <c r="V17" i="3" s="1"/>
  <c r="C18" i="2"/>
  <c r="C18" i="3" s="1"/>
  <c r="D18" i="2"/>
  <c r="D18" i="3" s="1"/>
  <c r="E18" i="2"/>
  <c r="E18" i="3" s="1"/>
  <c r="F18" i="2"/>
  <c r="F18" i="3" s="1"/>
  <c r="G18" i="2"/>
  <c r="G18" i="3" s="1"/>
  <c r="H18" i="2"/>
  <c r="H18" i="3" s="1"/>
  <c r="I18" i="2"/>
  <c r="I18" i="3" s="1"/>
  <c r="J18" i="2"/>
  <c r="J18" i="3" s="1"/>
  <c r="K18" i="2"/>
  <c r="K18" i="3" s="1"/>
  <c r="L18" i="2"/>
  <c r="L18" i="3" s="1"/>
  <c r="M18" i="2"/>
  <c r="M18" i="3" s="1"/>
  <c r="N18" i="2"/>
  <c r="N18" i="3" s="1"/>
  <c r="O18" i="2"/>
  <c r="O18" i="3" s="1"/>
  <c r="P18" i="2"/>
  <c r="P18" i="3" s="1"/>
  <c r="Q18" i="2"/>
  <c r="Q18" i="3" s="1"/>
  <c r="R18" i="2"/>
  <c r="R18" i="3" s="1"/>
  <c r="S18" i="2"/>
  <c r="S18" i="3" s="1"/>
  <c r="T18" i="2"/>
  <c r="T18" i="3" s="1"/>
  <c r="U18" i="2"/>
  <c r="U18" i="3" s="1"/>
  <c r="V18" i="2"/>
  <c r="V18" i="3" s="1"/>
  <c r="C19" i="2"/>
  <c r="C19" i="3" s="1"/>
  <c r="D19" i="2"/>
  <c r="D19" i="3" s="1"/>
  <c r="E19" i="2"/>
  <c r="E19" i="3" s="1"/>
  <c r="F19" i="2"/>
  <c r="F19" i="3" s="1"/>
  <c r="G19" i="2"/>
  <c r="G19" i="3" s="1"/>
  <c r="H19" i="2"/>
  <c r="H19" i="3" s="1"/>
  <c r="I19" i="2"/>
  <c r="I19" i="3" s="1"/>
  <c r="J19" i="2"/>
  <c r="J19" i="3" s="1"/>
  <c r="K19" i="2"/>
  <c r="K19" i="3" s="1"/>
  <c r="L19" i="2"/>
  <c r="L19" i="3" s="1"/>
  <c r="M19" i="2"/>
  <c r="M19" i="3" s="1"/>
  <c r="N19" i="2"/>
  <c r="N19" i="3" s="1"/>
  <c r="O19" i="2"/>
  <c r="O19" i="3" s="1"/>
  <c r="P19" i="2"/>
  <c r="P19" i="3" s="1"/>
  <c r="Q19" i="2"/>
  <c r="Q19" i="3" s="1"/>
  <c r="R19" i="2"/>
  <c r="R19" i="3" s="1"/>
  <c r="S19" i="2"/>
  <c r="S19" i="3" s="1"/>
  <c r="T19" i="2"/>
  <c r="T19" i="3" s="1"/>
  <c r="U19" i="2"/>
  <c r="U19" i="3" s="1"/>
  <c r="V19" i="2"/>
  <c r="V19" i="3" s="1"/>
  <c r="C20" i="2"/>
  <c r="C20" i="3" s="1"/>
  <c r="D20" i="2"/>
  <c r="D20" i="3" s="1"/>
  <c r="E20" i="2"/>
  <c r="E20" i="3" s="1"/>
  <c r="F20" i="2"/>
  <c r="F20" i="3" s="1"/>
  <c r="G20" i="2"/>
  <c r="G20" i="3" s="1"/>
  <c r="H20" i="2"/>
  <c r="H20" i="3" s="1"/>
  <c r="I20" i="2"/>
  <c r="I20" i="3" s="1"/>
  <c r="J20" i="2"/>
  <c r="J20" i="3" s="1"/>
  <c r="K20" i="2"/>
  <c r="K20" i="3" s="1"/>
  <c r="L20" i="2"/>
  <c r="L20" i="3" s="1"/>
  <c r="M20" i="2"/>
  <c r="M20" i="3" s="1"/>
  <c r="N20" i="2"/>
  <c r="N20" i="3" s="1"/>
  <c r="O20" i="2"/>
  <c r="O20" i="3" s="1"/>
  <c r="P20" i="2"/>
  <c r="P20" i="3" s="1"/>
  <c r="Q20" i="2"/>
  <c r="Q20" i="3" s="1"/>
  <c r="R20" i="2"/>
  <c r="R20" i="3" s="1"/>
  <c r="S20" i="2"/>
  <c r="S20" i="3" s="1"/>
  <c r="T20" i="2"/>
  <c r="T20" i="3" s="1"/>
  <c r="U20" i="2"/>
  <c r="U20" i="3" s="1"/>
  <c r="V20" i="2"/>
  <c r="V20" i="3" s="1"/>
  <c r="C21" i="2"/>
  <c r="C21" i="3" s="1"/>
  <c r="D21" i="2"/>
  <c r="D21" i="3" s="1"/>
  <c r="E21" i="2"/>
  <c r="E21" i="3" s="1"/>
  <c r="F21" i="2"/>
  <c r="F21" i="3" s="1"/>
  <c r="G21" i="2"/>
  <c r="G21" i="3" s="1"/>
  <c r="H21" i="2"/>
  <c r="H21" i="3" s="1"/>
  <c r="I21" i="2"/>
  <c r="I21" i="3" s="1"/>
  <c r="J21" i="2"/>
  <c r="J21" i="3" s="1"/>
  <c r="K21" i="2"/>
  <c r="K21" i="3" s="1"/>
  <c r="L21" i="2"/>
  <c r="L21" i="3" s="1"/>
  <c r="M21" i="2"/>
  <c r="M21" i="3" s="1"/>
  <c r="N21" i="2"/>
  <c r="N21" i="3" s="1"/>
  <c r="O21" i="2"/>
  <c r="O21" i="3" s="1"/>
  <c r="P21" i="2"/>
  <c r="P21" i="3" s="1"/>
  <c r="Q21" i="2"/>
  <c r="Q21" i="3" s="1"/>
  <c r="R21" i="2"/>
  <c r="R21" i="3" s="1"/>
  <c r="S21" i="2"/>
  <c r="S21" i="3" s="1"/>
  <c r="T21" i="2"/>
  <c r="T21" i="3" s="1"/>
  <c r="U21" i="2"/>
  <c r="U21" i="3" s="1"/>
  <c r="V21" i="2"/>
  <c r="V21" i="3" s="1"/>
  <c r="C22" i="2"/>
  <c r="C22" i="3" s="1"/>
  <c r="D22" i="2"/>
  <c r="D22" i="3" s="1"/>
  <c r="E22" i="2"/>
  <c r="E22" i="3" s="1"/>
  <c r="F22" i="2"/>
  <c r="F22" i="3" s="1"/>
  <c r="G22" i="2"/>
  <c r="G22" i="3" s="1"/>
  <c r="H22" i="2"/>
  <c r="H22" i="3" s="1"/>
  <c r="I22" i="2"/>
  <c r="I22" i="3" s="1"/>
  <c r="J22" i="2"/>
  <c r="J22" i="3" s="1"/>
  <c r="K22" i="2"/>
  <c r="K22" i="3" s="1"/>
  <c r="L22" i="2"/>
  <c r="L22" i="3" s="1"/>
  <c r="M22" i="2"/>
  <c r="M22" i="3" s="1"/>
  <c r="N22" i="2"/>
  <c r="N22" i="3" s="1"/>
  <c r="O22" i="2"/>
  <c r="O22" i="3" s="1"/>
  <c r="P22" i="2"/>
  <c r="P22" i="3" s="1"/>
  <c r="Q22" i="2"/>
  <c r="Q22" i="3" s="1"/>
  <c r="R22" i="2"/>
  <c r="R22" i="3" s="1"/>
  <c r="S22" i="2"/>
  <c r="S22" i="3" s="1"/>
  <c r="T22" i="2"/>
  <c r="T22" i="3" s="1"/>
  <c r="U22" i="2"/>
  <c r="U22" i="3" s="1"/>
  <c r="V22" i="2"/>
  <c r="V22" i="3" s="1"/>
  <c r="C23" i="2"/>
  <c r="C23" i="3" s="1"/>
  <c r="D23" i="2"/>
  <c r="D23" i="3" s="1"/>
  <c r="E23" i="2"/>
  <c r="E23" i="3" s="1"/>
  <c r="F23" i="2"/>
  <c r="F23" i="3" s="1"/>
  <c r="G23" i="2"/>
  <c r="G23" i="3" s="1"/>
  <c r="H23" i="2"/>
  <c r="H23" i="3" s="1"/>
  <c r="I23" i="2"/>
  <c r="I23" i="3" s="1"/>
  <c r="J23" i="2"/>
  <c r="J23" i="3" s="1"/>
  <c r="K23" i="2"/>
  <c r="K23" i="3" s="1"/>
  <c r="L23" i="2"/>
  <c r="L23" i="3" s="1"/>
  <c r="M23" i="2"/>
  <c r="M23" i="3" s="1"/>
  <c r="N23" i="2"/>
  <c r="N23" i="3" s="1"/>
  <c r="O23" i="2"/>
  <c r="O23" i="3" s="1"/>
  <c r="P23" i="2"/>
  <c r="P23" i="3" s="1"/>
  <c r="Q23" i="2"/>
  <c r="Q23" i="3" s="1"/>
  <c r="R23" i="2"/>
  <c r="R23" i="3" s="1"/>
  <c r="S23" i="2"/>
  <c r="S23" i="3" s="1"/>
  <c r="T23" i="2"/>
  <c r="T23" i="3" s="1"/>
  <c r="U23" i="2"/>
  <c r="U23" i="3" s="1"/>
  <c r="V23" i="2"/>
  <c r="V23" i="3" s="1"/>
  <c r="C24" i="2"/>
  <c r="C24" i="3" s="1"/>
  <c r="D24" i="2"/>
  <c r="D24" i="3" s="1"/>
  <c r="E24" i="2"/>
  <c r="E24" i="3" s="1"/>
  <c r="F24" i="2"/>
  <c r="F24" i="3" s="1"/>
  <c r="G24" i="2"/>
  <c r="G24" i="3" s="1"/>
  <c r="H24" i="2"/>
  <c r="H24" i="3" s="1"/>
  <c r="I24" i="2"/>
  <c r="I24" i="3" s="1"/>
  <c r="J24" i="2"/>
  <c r="J24" i="3" s="1"/>
  <c r="K24" i="2"/>
  <c r="K24" i="3" s="1"/>
  <c r="L24" i="2"/>
  <c r="L24" i="3" s="1"/>
  <c r="M24" i="2"/>
  <c r="M24" i="3" s="1"/>
  <c r="N24" i="2"/>
  <c r="N24" i="3" s="1"/>
  <c r="O24" i="2"/>
  <c r="O24" i="3" s="1"/>
  <c r="P24" i="2"/>
  <c r="P24" i="3" s="1"/>
  <c r="Q24" i="2"/>
  <c r="Q24" i="3" s="1"/>
  <c r="R24" i="2"/>
  <c r="R24" i="3" s="1"/>
  <c r="S24" i="2"/>
  <c r="S24" i="3" s="1"/>
  <c r="T24" i="2"/>
  <c r="T24" i="3" s="1"/>
  <c r="U24" i="2"/>
  <c r="U24" i="3" s="1"/>
  <c r="V24" i="2"/>
  <c r="V24" i="3" s="1"/>
  <c r="C25" i="2"/>
  <c r="C25" i="3" s="1"/>
  <c r="D25" i="2"/>
  <c r="D25" i="3" s="1"/>
  <c r="E25" i="2"/>
  <c r="E25" i="3" s="1"/>
  <c r="F25" i="2"/>
  <c r="F25" i="3" s="1"/>
  <c r="G25" i="2"/>
  <c r="G25" i="3" s="1"/>
  <c r="H25" i="2"/>
  <c r="H25" i="3" s="1"/>
  <c r="I25" i="2"/>
  <c r="I25" i="3" s="1"/>
  <c r="J25" i="2"/>
  <c r="J25" i="3" s="1"/>
  <c r="K25" i="2"/>
  <c r="K25" i="3" s="1"/>
  <c r="L25" i="2"/>
  <c r="L25" i="3" s="1"/>
  <c r="M25" i="2"/>
  <c r="M25" i="3" s="1"/>
  <c r="N25" i="2"/>
  <c r="N25" i="3" s="1"/>
  <c r="O25" i="2"/>
  <c r="O25" i="3" s="1"/>
  <c r="P25" i="2"/>
  <c r="P25" i="3" s="1"/>
  <c r="Q25" i="2"/>
  <c r="Q25" i="3" s="1"/>
  <c r="R25" i="2"/>
  <c r="R25" i="3" s="1"/>
  <c r="S25" i="2"/>
  <c r="S25" i="3" s="1"/>
  <c r="T25" i="2"/>
  <c r="T25" i="3" s="1"/>
  <c r="U25" i="2"/>
  <c r="U25" i="3" s="1"/>
  <c r="V25" i="2"/>
  <c r="V25" i="3" s="1"/>
  <c r="C26" i="2"/>
  <c r="C26" i="3" s="1"/>
  <c r="D26" i="2"/>
  <c r="D26" i="3" s="1"/>
  <c r="E26" i="2"/>
  <c r="E26" i="3" s="1"/>
  <c r="F26" i="2"/>
  <c r="F26" i="3" s="1"/>
  <c r="G26" i="2"/>
  <c r="G26" i="3" s="1"/>
  <c r="H26" i="2"/>
  <c r="H26" i="3" s="1"/>
  <c r="I26" i="2"/>
  <c r="I26" i="3" s="1"/>
  <c r="J26" i="2"/>
  <c r="J26" i="3" s="1"/>
  <c r="K26" i="2"/>
  <c r="K26" i="3" s="1"/>
  <c r="L26" i="2"/>
  <c r="L26" i="3" s="1"/>
  <c r="M26" i="2"/>
  <c r="M26" i="3" s="1"/>
  <c r="N26" i="2"/>
  <c r="N26" i="3" s="1"/>
  <c r="O26" i="2"/>
  <c r="O26" i="3" s="1"/>
  <c r="P26" i="2"/>
  <c r="P26" i="3" s="1"/>
  <c r="Q26" i="2"/>
  <c r="Q26" i="3" s="1"/>
  <c r="R26" i="2"/>
  <c r="R26" i="3" s="1"/>
  <c r="S26" i="2"/>
  <c r="S26" i="3" s="1"/>
  <c r="T26" i="2"/>
  <c r="T26" i="3" s="1"/>
  <c r="U26" i="2"/>
  <c r="U26" i="3" s="1"/>
  <c r="V26" i="2"/>
  <c r="V26" i="3" s="1"/>
  <c r="C27" i="2"/>
  <c r="C27" i="3" s="1"/>
  <c r="D27" i="2"/>
  <c r="D27" i="3" s="1"/>
  <c r="E27" i="2"/>
  <c r="E27" i="3" s="1"/>
  <c r="F27" i="2"/>
  <c r="F27" i="3" s="1"/>
  <c r="G27" i="2"/>
  <c r="G27" i="3" s="1"/>
  <c r="H27" i="2"/>
  <c r="H27" i="3" s="1"/>
  <c r="I27" i="2"/>
  <c r="I27" i="3" s="1"/>
  <c r="J27" i="2"/>
  <c r="J27" i="3" s="1"/>
  <c r="K27" i="2"/>
  <c r="K27" i="3" s="1"/>
  <c r="L27" i="2"/>
  <c r="L27" i="3" s="1"/>
  <c r="M27" i="2"/>
  <c r="M27" i="3" s="1"/>
  <c r="N27" i="2"/>
  <c r="N27" i="3" s="1"/>
  <c r="O27" i="2"/>
  <c r="O27" i="3" s="1"/>
  <c r="P27" i="2"/>
  <c r="P27" i="3" s="1"/>
  <c r="Q27" i="2"/>
  <c r="Q27" i="3" s="1"/>
  <c r="R27" i="2"/>
  <c r="R27" i="3" s="1"/>
  <c r="S27" i="2"/>
  <c r="S27" i="3" s="1"/>
  <c r="T27" i="2"/>
  <c r="T27" i="3" s="1"/>
  <c r="U27" i="2"/>
  <c r="U27" i="3" s="1"/>
  <c r="V27" i="2"/>
  <c r="V27" i="3" s="1"/>
  <c r="C28" i="2"/>
  <c r="C28" i="3" s="1"/>
  <c r="D28" i="2"/>
  <c r="D28" i="3" s="1"/>
  <c r="E28" i="2"/>
  <c r="E28" i="3" s="1"/>
  <c r="F28" i="2"/>
  <c r="F28" i="3" s="1"/>
  <c r="G28" i="2"/>
  <c r="G28" i="3" s="1"/>
  <c r="H28" i="2"/>
  <c r="H28" i="3" s="1"/>
  <c r="I28" i="2"/>
  <c r="I28" i="3" s="1"/>
  <c r="J28" i="2"/>
  <c r="J28" i="3" s="1"/>
  <c r="K28" i="2"/>
  <c r="K28" i="3" s="1"/>
  <c r="L28" i="2"/>
  <c r="L28" i="3" s="1"/>
  <c r="M28" i="2"/>
  <c r="M28" i="3" s="1"/>
  <c r="N28" i="2"/>
  <c r="N28" i="3" s="1"/>
  <c r="O28" i="2"/>
  <c r="O28" i="3" s="1"/>
  <c r="P28" i="2"/>
  <c r="P28" i="3" s="1"/>
  <c r="Q28" i="2"/>
  <c r="Q28" i="3" s="1"/>
  <c r="R28" i="2"/>
  <c r="R28" i="3" s="1"/>
  <c r="S28" i="2"/>
  <c r="S28" i="3" s="1"/>
  <c r="T28" i="2"/>
  <c r="T28" i="3" s="1"/>
  <c r="U28" i="2"/>
  <c r="U28" i="3" s="1"/>
  <c r="V28" i="2"/>
  <c r="V28" i="3" s="1"/>
  <c r="C29" i="2"/>
  <c r="C29" i="3" s="1"/>
  <c r="D29" i="2"/>
  <c r="D29" i="3" s="1"/>
  <c r="E29" i="2"/>
  <c r="E29" i="3" s="1"/>
  <c r="F29" i="2"/>
  <c r="F29" i="3" s="1"/>
  <c r="G29" i="2"/>
  <c r="G29" i="3" s="1"/>
  <c r="H29" i="2"/>
  <c r="H29" i="3" s="1"/>
  <c r="I29" i="2"/>
  <c r="I29" i="3" s="1"/>
  <c r="J29" i="2"/>
  <c r="J29" i="3" s="1"/>
  <c r="K29" i="2"/>
  <c r="K29" i="3" s="1"/>
  <c r="L29" i="2"/>
  <c r="L29" i="3" s="1"/>
  <c r="M29" i="2"/>
  <c r="M29" i="3" s="1"/>
  <c r="N29" i="2"/>
  <c r="N29" i="3" s="1"/>
  <c r="O29" i="2"/>
  <c r="O29" i="3" s="1"/>
  <c r="P29" i="2"/>
  <c r="P29" i="3" s="1"/>
  <c r="Q29" i="2"/>
  <c r="Q29" i="3" s="1"/>
  <c r="R29" i="2"/>
  <c r="R29" i="3" s="1"/>
  <c r="S29" i="2"/>
  <c r="S29" i="3" s="1"/>
  <c r="T29" i="2"/>
  <c r="T29" i="3" s="1"/>
  <c r="U29" i="2"/>
  <c r="U29" i="3" s="1"/>
  <c r="V29" i="2"/>
  <c r="V29" i="3" s="1"/>
  <c r="C30" i="2"/>
  <c r="C30" i="3" s="1"/>
  <c r="D30" i="2"/>
  <c r="D30" i="3" s="1"/>
  <c r="E30" i="2"/>
  <c r="E30" i="3" s="1"/>
  <c r="F30" i="2"/>
  <c r="F30" i="3" s="1"/>
  <c r="G30" i="2"/>
  <c r="G30" i="3" s="1"/>
  <c r="H30" i="2"/>
  <c r="H30" i="3" s="1"/>
  <c r="I30" i="2"/>
  <c r="I30" i="3" s="1"/>
  <c r="J30" i="2"/>
  <c r="J30" i="3" s="1"/>
  <c r="K30" i="2"/>
  <c r="K30" i="3" s="1"/>
  <c r="L30" i="2"/>
  <c r="L30" i="3" s="1"/>
  <c r="M30" i="2"/>
  <c r="M30" i="3" s="1"/>
  <c r="N30" i="2"/>
  <c r="N30" i="3" s="1"/>
  <c r="O30" i="2"/>
  <c r="O30" i="3" s="1"/>
  <c r="P30" i="2"/>
  <c r="P30" i="3" s="1"/>
  <c r="Q30" i="2"/>
  <c r="Q30" i="3" s="1"/>
  <c r="R30" i="2"/>
  <c r="R30" i="3" s="1"/>
  <c r="S30" i="2"/>
  <c r="S30" i="3" s="1"/>
  <c r="T30" i="2"/>
  <c r="T30" i="3" s="1"/>
  <c r="U30" i="2"/>
  <c r="U30" i="3" s="1"/>
  <c r="V30" i="2"/>
  <c r="V30" i="3" s="1"/>
  <c r="C31" i="2"/>
  <c r="C31" i="3" s="1"/>
  <c r="D31" i="2"/>
  <c r="D31" i="3" s="1"/>
  <c r="E31" i="2"/>
  <c r="E31" i="3" s="1"/>
  <c r="F31" i="2"/>
  <c r="F31" i="3" s="1"/>
  <c r="G31" i="2"/>
  <c r="G31" i="3" s="1"/>
  <c r="H31" i="2"/>
  <c r="H31" i="3" s="1"/>
  <c r="I31" i="2"/>
  <c r="I31" i="3" s="1"/>
  <c r="J31" i="2"/>
  <c r="J31" i="3" s="1"/>
  <c r="K31" i="2"/>
  <c r="K31" i="3" s="1"/>
  <c r="L31" i="2"/>
  <c r="L31" i="3" s="1"/>
  <c r="M31" i="2"/>
  <c r="M31" i="3" s="1"/>
  <c r="N31" i="2"/>
  <c r="N31" i="3" s="1"/>
  <c r="O31" i="2"/>
  <c r="O31" i="3" s="1"/>
  <c r="P31" i="2"/>
  <c r="P31" i="3" s="1"/>
  <c r="Q31" i="2"/>
  <c r="Q31" i="3" s="1"/>
  <c r="R31" i="2"/>
  <c r="R31" i="3" s="1"/>
  <c r="S31" i="2"/>
  <c r="S31" i="3" s="1"/>
  <c r="T31" i="2"/>
  <c r="T31" i="3" s="1"/>
  <c r="U31" i="2"/>
  <c r="U31" i="3" s="1"/>
  <c r="V31" i="2"/>
  <c r="V31" i="3" s="1"/>
  <c r="C32" i="2"/>
  <c r="C32" i="3" s="1"/>
  <c r="D32" i="2"/>
  <c r="D32" i="3" s="1"/>
  <c r="E32" i="2"/>
  <c r="E32" i="3" s="1"/>
  <c r="F32" i="2"/>
  <c r="F32" i="3" s="1"/>
  <c r="G32" i="2"/>
  <c r="G32" i="3" s="1"/>
  <c r="H32" i="2"/>
  <c r="H32" i="3" s="1"/>
  <c r="I32" i="2"/>
  <c r="I32" i="3" s="1"/>
  <c r="J32" i="2"/>
  <c r="J32" i="3" s="1"/>
  <c r="K32" i="2"/>
  <c r="K32" i="3" s="1"/>
  <c r="L32" i="2"/>
  <c r="L32" i="3" s="1"/>
  <c r="M32" i="2"/>
  <c r="M32" i="3" s="1"/>
  <c r="N32" i="2"/>
  <c r="N32" i="3" s="1"/>
  <c r="O32" i="2"/>
  <c r="O32" i="3" s="1"/>
  <c r="P32" i="2"/>
  <c r="P32" i="3" s="1"/>
  <c r="Q32" i="2"/>
  <c r="Q32" i="3" s="1"/>
  <c r="R32" i="2"/>
  <c r="R32" i="3" s="1"/>
  <c r="S32" i="2"/>
  <c r="S32" i="3" s="1"/>
  <c r="T32" i="2"/>
  <c r="T32" i="3" s="1"/>
  <c r="U32" i="2"/>
  <c r="U32" i="3" s="1"/>
  <c r="V32" i="2"/>
  <c r="V32" i="3" s="1"/>
  <c r="C33" i="2"/>
  <c r="C33" i="3" s="1"/>
  <c r="D33" i="2"/>
  <c r="D33" i="3" s="1"/>
  <c r="E33" i="2"/>
  <c r="E33" i="3" s="1"/>
  <c r="F33" i="2"/>
  <c r="F33" i="3" s="1"/>
  <c r="G33" i="2"/>
  <c r="G33" i="3" s="1"/>
  <c r="H33" i="2"/>
  <c r="H33" i="3" s="1"/>
  <c r="I33" i="2"/>
  <c r="I33" i="3" s="1"/>
  <c r="J33" i="2"/>
  <c r="J33" i="3" s="1"/>
  <c r="K33" i="2"/>
  <c r="K33" i="3" s="1"/>
  <c r="L33" i="2"/>
  <c r="L33" i="3" s="1"/>
  <c r="M33" i="2"/>
  <c r="M33" i="3" s="1"/>
  <c r="N33" i="2"/>
  <c r="N33" i="3" s="1"/>
  <c r="O33" i="2"/>
  <c r="O33" i="3" s="1"/>
  <c r="P33" i="2"/>
  <c r="P33" i="3" s="1"/>
  <c r="Q33" i="2"/>
  <c r="Q33" i="3" s="1"/>
  <c r="R33" i="2"/>
  <c r="R33" i="3" s="1"/>
  <c r="S33" i="2"/>
  <c r="S33" i="3" s="1"/>
  <c r="T33" i="2"/>
  <c r="T33" i="3" s="1"/>
  <c r="U33" i="2"/>
  <c r="U33" i="3" s="1"/>
  <c r="V33" i="2"/>
  <c r="V33" i="3" s="1"/>
  <c r="C34" i="2"/>
  <c r="C34" i="3" s="1"/>
  <c r="D34" i="2"/>
  <c r="D34" i="3" s="1"/>
  <c r="E34" i="2"/>
  <c r="E34" i="3" s="1"/>
  <c r="F34" i="2"/>
  <c r="F34" i="3" s="1"/>
  <c r="G34" i="2"/>
  <c r="G34" i="3" s="1"/>
  <c r="H34" i="2"/>
  <c r="H34" i="3" s="1"/>
  <c r="I34" i="2"/>
  <c r="I34" i="3" s="1"/>
  <c r="J34" i="2"/>
  <c r="J34" i="3" s="1"/>
  <c r="K34" i="2"/>
  <c r="K34" i="3" s="1"/>
  <c r="L34" i="2"/>
  <c r="L34" i="3" s="1"/>
  <c r="M34" i="2"/>
  <c r="M34" i="3" s="1"/>
  <c r="N34" i="2"/>
  <c r="N34" i="3" s="1"/>
  <c r="O34" i="2"/>
  <c r="O34" i="3" s="1"/>
  <c r="P34" i="2"/>
  <c r="P34" i="3" s="1"/>
  <c r="Q34" i="2"/>
  <c r="Q34" i="3" s="1"/>
  <c r="R34" i="2"/>
  <c r="R34" i="3" s="1"/>
  <c r="S34" i="2"/>
  <c r="S34" i="3" s="1"/>
  <c r="T34" i="2"/>
  <c r="T34" i="3" s="1"/>
  <c r="U34" i="2"/>
  <c r="U34" i="3" s="1"/>
  <c r="V34" i="2"/>
  <c r="V34" i="3" s="1"/>
  <c r="C35" i="2"/>
  <c r="C35" i="3" s="1"/>
  <c r="D35" i="2"/>
  <c r="D35" i="3" s="1"/>
  <c r="E35" i="2"/>
  <c r="E35" i="3" s="1"/>
  <c r="F35" i="2"/>
  <c r="F35" i="3" s="1"/>
  <c r="G35" i="2"/>
  <c r="G35" i="3" s="1"/>
  <c r="H35" i="2"/>
  <c r="H35" i="3" s="1"/>
  <c r="I35" i="2"/>
  <c r="I35" i="3" s="1"/>
  <c r="J35" i="2"/>
  <c r="J35" i="3" s="1"/>
  <c r="K35" i="2"/>
  <c r="K35" i="3" s="1"/>
  <c r="L35" i="2"/>
  <c r="L35" i="3" s="1"/>
  <c r="M35" i="2"/>
  <c r="M35" i="3" s="1"/>
  <c r="N35" i="2"/>
  <c r="N35" i="3" s="1"/>
  <c r="O35" i="2"/>
  <c r="O35" i="3" s="1"/>
  <c r="P35" i="2"/>
  <c r="P35" i="3" s="1"/>
  <c r="Q35" i="2"/>
  <c r="Q35" i="3" s="1"/>
  <c r="R35" i="2"/>
  <c r="R35" i="3" s="1"/>
  <c r="S35" i="2"/>
  <c r="S35" i="3" s="1"/>
  <c r="T35" i="2"/>
  <c r="T35" i="3" s="1"/>
  <c r="U35" i="2"/>
  <c r="U35" i="3" s="1"/>
  <c r="V35" i="2"/>
  <c r="V35" i="3" s="1"/>
  <c r="C36" i="2"/>
  <c r="C36" i="3" s="1"/>
  <c r="D36" i="2"/>
  <c r="D36" i="3" s="1"/>
  <c r="E36" i="2"/>
  <c r="E36" i="3" s="1"/>
  <c r="F36" i="2"/>
  <c r="F36" i="3" s="1"/>
  <c r="G36" i="2"/>
  <c r="G36" i="3" s="1"/>
  <c r="H36" i="2"/>
  <c r="H36" i="3" s="1"/>
  <c r="I36" i="2"/>
  <c r="I36" i="3" s="1"/>
  <c r="J36" i="2"/>
  <c r="J36" i="3" s="1"/>
  <c r="K36" i="2"/>
  <c r="K36" i="3" s="1"/>
  <c r="L36" i="2"/>
  <c r="L36" i="3" s="1"/>
  <c r="M36" i="2"/>
  <c r="M36" i="3" s="1"/>
  <c r="N36" i="2"/>
  <c r="N36" i="3" s="1"/>
  <c r="O36" i="2"/>
  <c r="O36" i="3" s="1"/>
  <c r="P36" i="2"/>
  <c r="P36" i="3" s="1"/>
  <c r="Q36" i="2"/>
  <c r="Q36" i="3" s="1"/>
  <c r="R36" i="2"/>
  <c r="R36" i="3" s="1"/>
  <c r="S36" i="2"/>
  <c r="S36" i="3" s="1"/>
  <c r="T36" i="2"/>
  <c r="T36" i="3" s="1"/>
  <c r="U36" i="2"/>
  <c r="U36" i="3" s="1"/>
  <c r="V36" i="2"/>
  <c r="V36" i="3" s="1"/>
  <c r="C37" i="2"/>
  <c r="C37" i="3" s="1"/>
  <c r="D37" i="2"/>
  <c r="D37" i="3" s="1"/>
  <c r="E37" i="2"/>
  <c r="E37" i="3" s="1"/>
  <c r="F37" i="2"/>
  <c r="F37" i="3" s="1"/>
  <c r="G37" i="2"/>
  <c r="G37" i="3" s="1"/>
  <c r="H37" i="2"/>
  <c r="H37" i="3" s="1"/>
  <c r="I37" i="2"/>
  <c r="I37" i="3" s="1"/>
  <c r="J37" i="2"/>
  <c r="J37" i="3" s="1"/>
  <c r="K37" i="2"/>
  <c r="K37" i="3" s="1"/>
  <c r="L37" i="2"/>
  <c r="L37" i="3" s="1"/>
  <c r="M37" i="2"/>
  <c r="M37" i="3" s="1"/>
  <c r="N37" i="2"/>
  <c r="N37" i="3" s="1"/>
  <c r="O37" i="2"/>
  <c r="O37" i="3" s="1"/>
  <c r="P37" i="2"/>
  <c r="P37" i="3" s="1"/>
  <c r="Q37" i="2"/>
  <c r="Q37" i="3" s="1"/>
  <c r="R37" i="2"/>
  <c r="R37" i="3" s="1"/>
  <c r="S37" i="2"/>
  <c r="S37" i="3" s="1"/>
  <c r="T37" i="2"/>
  <c r="T37" i="3" s="1"/>
  <c r="U37" i="2"/>
  <c r="U37" i="3" s="1"/>
  <c r="V37" i="2"/>
  <c r="V37" i="3" s="1"/>
  <c r="C38" i="2"/>
  <c r="C38" i="3" s="1"/>
  <c r="D38" i="2"/>
  <c r="D38" i="3" s="1"/>
  <c r="E38" i="2"/>
  <c r="E38" i="3" s="1"/>
  <c r="F38" i="2"/>
  <c r="F38" i="3" s="1"/>
  <c r="G38" i="2"/>
  <c r="G38" i="3" s="1"/>
  <c r="H38" i="2"/>
  <c r="H38" i="3" s="1"/>
  <c r="I38" i="2"/>
  <c r="I38" i="3" s="1"/>
  <c r="J38" i="2"/>
  <c r="J38" i="3" s="1"/>
  <c r="K38" i="2"/>
  <c r="K38" i="3" s="1"/>
  <c r="L38" i="2"/>
  <c r="L38" i="3" s="1"/>
  <c r="M38" i="2"/>
  <c r="M38" i="3" s="1"/>
  <c r="N38" i="2"/>
  <c r="N38" i="3" s="1"/>
  <c r="O38" i="2"/>
  <c r="O38" i="3" s="1"/>
  <c r="P38" i="2"/>
  <c r="P38" i="3" s="1"/>
  <c r="Q38" i="2"/>
  <c r="Q38" i="3" s="1"/>
  <c r="R38" i="2"/>
  <c r="R38" i="3" s="1"/>
  <c r="S38" i="2"/>
  <c r="S38" i="3" s="1"/>
  <c r="T38" i="2"/>
  <c r="T38" i="3" s="1"/>
  <c r="U38" i="2"/>
  <c r="U38" i="3" s="1"/>
  <c r="V38" i="2"/>
  <c r="V38" i="3" s="1"/>
  <c r="C39" i="2"/>
  <c r="C39" i="3" s="1"/>
  <c r="D39" i="2"/>
  <c r="D39" i="3" s="1"/>
  <c r="E39" i="2"/>
  <c r="E39" i="3" s="1"/>
  <c r="F39" i="2"/>
  <c r="F39" i="3" s="1"/>
  <c r="G39" i="2"/>
  <c r="G39" i="3" s="1"/>
  <c r="H39" i="2"/>
  <c r="H39" i="3" s="1"/>
  <c r="I39" i="2"/>
  <c r="I39" i="3" s="1"/>
  <c r="J39" i="2"/>
  <c r="J39" i="3" s="1"/>
  <c r="K39" i="2"/>
  <c r="K39" i="3" s="1"/>
  <c r="L39" i="2"/>
  <c r="L39" i="3" s="1"/>
  <c r="M39" i="2"/>
  <c r="M39" i="3" s="1"/>
  <c r="N39" i="2"/>
  <c r="N39" i="3" s="1"/>
  <c r="O39" i="2"/>
  <c r="O39" i="3" s="1"/>
  <c r="P39" i="2"/>
  <c r="P39" i="3" s="1"/>
  <c r="Q39" i="2"/>
  <c r="Q39" i="3" s="1"/>
  <c r="R39" i="2"/>
  <c r="R39" i="3" s="1"/>
  <c r="S39" i="2"/>
  <c r="S39" i="3" s="1"/>
  <c r="T39" i="2"/>
  <c r="T39" i="3" s="1"/>
  <c r="U39" i="2"/>
  <c r="U39" i="3" s="1"/>
  <c r="V39" i="2"/>
  <c r="V39" i="3" s="1"/>
  <c r="C40" i="2"/>
  <c r="C40" i="3" s="1"/>
  <c r="D40" i="2"/>
  <c r="D40" i="3" s="1"/>
  <c r="E40" i="2"/>
  <c r="E40" i="3" s="1"/>
  <c r="F40" i="2"/>
  <c r="F40" i="3" s="1"/>
  <c r="G40" i="2"/>
  <c r="G40" i="3" s="1"/>
  <c r="H40" i="2"/>
  <c r="H40" i="3" s="1"/>
  <c r="I40" i="2"/>
  <c r="I40" i="3" s="1"/>
  <c r="J40" i="2"/>
  <c r="J40" i="3" s="1"/>
  <c r="K40" i="2"/>
  <c r="K40" i="3" s="1"/>
  <c r="L40" i="2"/>
  <c r="L40" i="3" s="1"/>
  <c r="M40" i="2"/>
  <c r="M40" i="3" s="1"/>
  <c r="N40" i="2"/>
  <c r="N40" i="3" s="1"/>
  <c r="O40" i="2"/>
  <c r="O40" i="3" s="1"/>
  <c r="P40" i="2"/>
  <c r="P40" i="3" s="1"/>
  <c r="Q40" i="2"/>
  <c r="Q40" i="3" s="1"/>
  <c r="R40" i="2"/>
  <c r="R40" i="3" s="1"/>
  <c r="S40" i="2"/>
  <c r="S40" i="3" s="1"/>
  <c r="T40" i="2"/>
  <c r="T40" i="3" s="1"/>
  <c r="U40" i="2"/>
  <c r="U40" i="3" s="1"/>
  <c r="V40" i="2"/>
  <c r="V40" i="3" s="1"/>
  <c r="C41" i="2"/>
  <c r="C41" i="3" s="1"/>
  <c r="D41" i="2"/>
  <c r="D41" i="3" s="1"/>
  <c r="E41" i="2"/>
  <c r="E41" i="3" s="1"/>
  <c r="F41" i="2"/>
  <c r="F41" i="3" s="1"/>
  <c r="G41" i="2"/>
  <c r="G41" i="3" s="1"/>
  <c r="H41" i="2"/>
  <c r="H41" i="3" s="1"/>
  <c r="I41" i="2"/>
  <c r="I41" i="3" s="1"/>
  <c r="J41" i="2"/>
  <c r="J41" i="3" s="1"/>
  <c r="K41" i="2"/>
  <c r="K41" i="3" s="1"/>
  <c r="L41" i="2"/>
  <c r="L41" i="3" s="1"/>
  <c r="M41" i="2"/>
  <c r="M41" i="3" s="1"/>
  <c r="N41" i="2"/>
  <c r="N41" i="3" s="1"/>
  <c r="O41" i="2"/>
  <c r="O41" i="3" s="1"/>
  <c r="P41" i="2"/>
  <c r="P41" i="3" s="1"/>
  <c r="Q41" i="2"/>
  <c r="Q41" i="3" s="1"/>
  <c r="R41" i="2"/>
  <c r="R41" i="3" s="1"/>
  <c r="S41" i="2"/>
  <c r="S41" i="3" s="1"/>
  <c r="T41" i="2"/>
  <c r="T41" i="3" s="1"/>
  <c r="U41" i="2"/>
  <c r="U41" i="3" s="1"/>
  <c r="V41" i="2"/>
  <c r="V41" i="3" s="1"/>
  <c r="C42" i="2"/>
  <c r="C42" i="3" s="1"/>
  <c r="D42" i="2"/>
  <c r="D42" i="3" s="1"/>
  <c r="E42" i="2"/>
  <c r="E42" i="3" s="1"/>
  <c r="F42" i="2"/>
  <c r="F42" i="3" s="1"/>
  <c r="G42" i="2"/>
  <c r="G42" i="3" s="1"/>
  <c r="H42" i="2"/>
  <c r="H42" i="3" s="1"/>
  <c r="I42" i="2"/>
  <c r="I42" i="3" s="1"/>
  <c r="J42" i="2"/>
  <c r="J42" i="3" s="1"/>
  <c r="K42" i="2"/>
  <c r="K42" i="3" s="1"/>
  <c r="L42" i="2"/>
  <c r="L42" i="3" s="1"/>
  <c r="M42" i="2"/>
  <c r="M42" i="3" s="1"/>
  <c r="N42" i="2"/>
  <c r="N42" i="3" s="1"/>
  <c r="O42" i="2"/>
  <c r="O42" i="3" s="1"/>
  <c r="P42" i="2"/>
  <c r="P42" i="3" s="1"/>
  <c r="Q42" i="2"/>
  <c r="Q42" i="3" s="1"/>
  <c r="R42" i="2"/>
  <c r="R42" i="3" s="1"/>
  <c r="S42" i="2"/>
  <c r="S42" i="3" s="1"/>
  <c r="T42" i="2"/>
  <c r="T42" i="3" s="1"/>
  <c r="U42" i="2"/>
  <c r="U42" i="3" s="1"/>
  <c r="V42" i="2"/>
  <c r="V42" i="3" s="1"/>
  <c r="C43" i="2"/>
  <c r="C43" i="3" s="1"/>
  <c r="D43" i="2"/>
  <c r="D43" i="3" s="1"/>
  <c r="E43" i="2"/>
  <c r="E43" i="3" s="1"/>
  <c r="F43" i="2"/>
  <c r="F43" i="3" s="1"/>
  <c r="G43" i="2"/>
  <c r="G43" i="3" s="1"/>
  <c r="H43" i="2"/>
  <c r="H43" i="3" s="1"/>
  <c r="I43" i="2"/>
  <c r="I43" i="3" s="1"/>
  <c r="J43" i="2"/>
  <c r="J43" i="3" s="1"/>
  <c r="K43" i="2"/>
  <c r="K43" i="3" s="1"/>
  <c r="L43" i="2"/>
  <c r="L43" i="3" s="1"/>
  <c r="M43" i="2"/>
  <c r="M43" i="3" s="1"/>
  <c r="N43" i="2"/>
  <c r="N43" i="3" s="1"/>
  <c r="O43" i="2"/>
  <c r="O43" i="3" s="1"/>
  <c r="P43" i="2"/>
  <c r="P43" i="3" s="1"/>
  <c r="Q43" i="2"/>
  <c r="Q43" i="3" s="1"/>
  <c r="R43" i="2"/>
  <c r="R43" i="3" s="1"/>
  <c r="S43" i="2"/>
  <c r="S43" i="3" s="1"/>
  <c r="T43" i="2"/>
  <c r="T43" i="3" s="1"/>
  <c r="U43" i="2"/>
  <c r="U43" i="3" s="1"/>
  <c r="V43" i="2"/>
  <c r="V43" i="3" s="1"/>
  <c r="C44" i="2"/>
  <c r="C44" i="3" s="1"/>
  <c r="D44" i="2"/>
  <c r="D44" i="3" s="1"/>
  <c r="E44" i="2"/>
  <c r="E44" i="3" s="1"/>
  <c r="F44" i="2"/>
  <c r="F44" i="3" s="1"/>
  <c r="G44" i="2"/>
  <c r="G44" i="3" s="1"/>
  <c r="H44" i="2"/>
  <c r="H44" i="3" s="1"/>
  <c r="I44" i="2"/>
  <c r="I44" i="3" s="1"/>
  <c r="J44" i="2"/>
  <c r="J44" i="3" s="1"/>
  <c r="K44" i="2"/>
  <c r="K44" i="3" s="1"/>
  <c r="L44" i="2"/>
  <c r="L44" i="3" s="1"/>
  <c r="M44" i="2"/>
  <c r="M44" i="3" s="1"/>
  <c r="N44" i="2"/>
  <c r="N44" i="3" s="1"/>
  <c r="O44" i="2"/>
  <c r="O44" i="3" s="1"/>
  <c r="P44" i="2"/>
  <c r="P44" i="3" s="1"/>
  <c r="Q44" i="2"/>
  <c r="Q44" i="3" s="1"/>
  <c r="R44" i="2"/>
  <c r="R44" i="3" s="1"/>
  <c r="S44" i="2"/>
  <c r="S44" i="3" s="1"/>
  <c r="T44" i="2"/>
  <c r="T44" i="3" s="1"/>
  <c r="U44" i="2"/>
  <c r="U44" i="3" s="1"/>
  <c r="V44" i="2"/>
  <c r="V44" i="3" s="1"/>
  <c r="C45" i="2"/>
  <c r="C45" i="3" s="1"/>
  <c r="D45" i="2"/>
  <c r="D45" i="3" s="1"/>
  <c r="E45" i="2"/>
  <c r="E45" i="3" s="1"/>
  <c r="F45" i="2"/>
  <c r="F45" i="3" s="1"/>
  <c r="G45" i="2"/>
  <c r="G45" i="3" s="1"/>
  <c r="H45" i="2"/>
  <c r="H45" i="3" s="1"/>
  <c r="I45" i="2"/>
  <c r="I45" i="3" s="1"/>
  <c r="J45" i="2"/>
  <c r="J45" i="3" s="1"/>
  <c r="K45" i="2"/>
  <c r="K45" i="3" s="1"/>
  <c r="L45" i="2"/>
  <c r="L45" i="3" s="1"/>
  <c r="M45" i="2"/>
  <c r="M45" i="3" s="1"/>
  <c r="N45" i="2"/>
  <c r="N45" i="3" s="1"/>
  <c r="O45" i="2"/>
  <c r="O45" i="3" s="1"/>
  <c r="P45" i="2"/>
  <c r="P45" i="3" s="1"/>
  <c r="Q45" i="2"/>
  <c r="Q45" i="3" s="1"/>
  <c r="R45" i="2"/>
  <c r="R45" i="3" s="1"/>
  <c r="S45" i="2"/>
  <c r="S45" i="3" s="1"/>
  <c r="T45" i="2"/>
  <c r="T45" i="3" s="1"/>
  <c r="U45" i="2"/>
  <c r="U45" i="3" s="1"/>
  <c r="V45" i="2"/>
  <c r="V45" i="3" s="1"/>
  <c r="C46" i="2"/>
  <c r="C46" i="3" s="1"/>
  <c r="D46" i="2"/>
  <c r="D46" i="3" s="1"/>
  <c r="E46" i="2"/>
  <c r="E46" i="3" s="1"/>
  <c r="F46" i="2"/>
  <c r="F46" i="3" s="1"/>
  <c r="G46" i="2"/>
  <c r="G46" i="3" s="1"/>
  <c r="H46" i="2"/>
  <c r="H46" i="3" s="1"/>
  <c r="I46" i="2"/>
  <c r="I46" i="3" s="1"/>
  <c r="J46" i="2"/>
  <c r="J46" i="3" s="1"/>
  <c r="K46" i="2"/>
  <c r="K46" i="3" s="1"/>
  <c r="L46" i="2"/>
  <c r="L46" i="3" s="1"/>
  <c r="M46" i="2"/>
  <c r="M46" i="3" s="1"/>
  <c r="N46" i="2"/>
  <c r="N46" i="3" s="1"/>
  <c r="O46" i="2"/>
  <c r="O46" i="3" s="1"/>
  <c r="P46" i="2"/>
  <c r="P46" i="3" s="1"/>
  <c r="Q46" i="2"/>
  <c r="Q46" i="3" s="1"/>
  <c r="R46" i="2"/>
  <c r="R46" i="3" s="1"/>
  <c r="S46" i="2"/>
  <c r="S46" i="3" s="1"/>
  <c r="T46" i="2"/>
  <c r="T46" i="3" s="1"/>
  <c r="U46" i="2"/>
  <c r="U46" i="3" s="1"/>
  <c r="V46" i="2"/>
  <c r="V46" i="3" s="1"/>
  <c r="C47" i="2"/>
  <c r="C47" i="3" s="1"/>
  <c r="D47" i="2"/>
  <c r="D47" i="3" s="1"/>
  <c r="E47" i="2"/>
  <c r="E47" i="3" s="1"/>
  <c r="F47" i="2"/>
  <c r="F47" i="3" s="1"/>
  <c r="G47" i="2"/>
  <c r="G47" i="3" s="1"/>
  <c r="H47" i="2"/>
  <c r="H47" i="3" s="1"/>
  <c r="I47" i="2"/>
  <c r="I47" i="3" s="1"/>
  <c r="J47" i="2"/>
  <c r="J47" i="3" s="1"/>
  <c r="K47" i="2"/>
  <c r="K47" i="3" s="1"/>
  <c r="L47" i="2"/>
  <c r="L47" i="3" s="1"/>
  <c r="M47" i="2"/>
  <c r="M47" i="3" s="1"/>
  <c r="N47" i="2"/>
  <c r="N47" i="3" s="1"/>
  <c r="O47" i="2"/>
  <c r="O47" i="3" s="1"/>
  <c r="P47" i="2"/>
  <c r="P47" i="3" s="1"/>
  <c r="Q47" i="2"/>
  <c r="Q47" i="3" s="1"/>
  <c r="R47" i="2"/>
  <c r="R47" i="3" s="1"/>
  <c r="S47" i="2"/>
  <c r="S47" i="3" s="1"/>
  <c r="T47" i="2"/>
  <c r="T47" i="3" s="1"/>
  <c r="U47" i="2"/>
  <c r="U47" i="3" s="1"/>
  <c r="V47" i="2"/>
  <c r="V47" i="3" s="1"/>
  <c r="C48" i="2"/>
  <c r="C48" i="3" s="1"/>
  <c r="D48" i="2"/>
  <c r="D48" i="3" s="1"/>
  <c r="E48" i="2"/>
  <c r="E48" i="3" s="1"/>
  <c r="F48" i="2"/>
  <c r="F48" i="3" s="1"/>
  <c r="G48" i="2"/>
  <c r="G48" i="3" s="1"/>
  <c r="H48" i="2"/>
  <c r="H48" i="3" s="1"/>
  <c r="I48" i="2"/>
  <c r="I48" i="3" s="1"/>
  <c r="J48" i="2"/>
  <c r="J48" i="3" s="1"/>
  <c r="K48" i="2"/>
  <c r="K48" i="3" s="1"/>
  <c r="L48" i="2"/>
  <c r="L48" i="3" s="1"/>
  <c r="M48" i="2"/>
  <c r="M48" i="3" s="1"/>
  <c r="N48" i="2"/>
  <c r="N48" i="3" s="1"/>
  <c r="O48" i="2"/>
  <c r="O48" i="3" s="1"/>
  <c r="P48" i="2"/>
  <c r="P48" i="3" s="1"/>
  <c r="Q48" i="2"/>
  <c r="Q48" i="3" s="1"/>
  <c r="R48" i="2"/>
  <c r="R48" i="3" s="1"/>
  <c r="S48" i="2"/>
  <c r="S48" i="3" s="1"/>
  <c r="T48" i="2"/>
  <c r="T48" i="3" s="1"/>
  <c r="U48" i="2"/>
  <c r="U48" i="3" s="1"/>
  <c r="V48" i="2"/>
  <c r="V48" i="3" s="1"/>
  <c r="C49" i="2"/>
  <c r="C49" i="3" s="1"/>
  <c r="D49" i="2"/>
  <c r="D49" i="3" s="1"/>
  <c r="E49" i="2"/>
  <c r="E49" i="3" s="1"/>
  <c r="F49" i="2"/>
  <c r="F49" i="3" s="1"/>
  <c r="G49" i="2"/>
  <c r="G49" i="3" s="1"/>
  <c r="H49" i="2"/>
  <c r="H49" i="3" s="1"/>
  <c r="I49" i="2"/>
  <c r="I49" i="3" s="1"/>
  <c r="J49" i="2"/>
  <c r="J49" i="3" s="1"/>
  <c r="K49" i="2"/>
  <c r="K49" i="3" s="1"/>
  <c r="L49" i="2"/>
  <c r="L49" i="3" s="1"/>
  <c r="M49" i="2"/>
  <c r="M49" i="3" s="1"/>
  <c r="N49" i="2"/>
  <c r="N49" i="3" s="1"/>
  <c r="O49" i="2"/>
  <c r="O49" i="3" s="1"/>
  <c r="P49" i="2"/>
  <c r="P49" i="3" s="1"/>
  <c r="Q49" i="2"/>
  <c r="Q49" i="3" s="1"/>
  <c r="R49" i="2"/>
  <c r="R49" i="3" s="1"/>
  <c r="S49" i="2"/>
  <c r="S49" i="3" s="1"/>
  <c r="T49" i="2"/>
  <c r="T49" i="3" s="1"/>
  <c r="U49" i="2"/>
  <c r="U49" i="3" s="1"/>
  <c r="V49" i="2"/>
  <c r="V49" i="3" s="1"/>
  <c r="C50" i="2"/>
  <c r="C50" i="3" s="1"/>
  <c r="D50" i="2"/>
  <c r="D50" i="3" s="1"/>
  <c r="E50" i="2"/>
  <c r="E50" i="3" s="1"/>
  <c r="F50" i="2"/>
  <c r="F50" i="3" s="1"/>
  <c r="G50" i="2"/>
  <c r="G50" i="3" s="1"/>
  <c r="H50" i="2"/>
  <c r="H50" i="3" s="1"/>
  <c r="I50" i="2"/>
  <c r="I50" i="3" s="1"/>
  <c r="J50" i="2"/>
  <c r="J50" i="3" s="1"/>
  <c r="K50" i="2"/>
  <c r="K50" i="3" s="1"/>
  <c r="L50" i="2"/>
  <c r="L50" i="3" s="1"/>
  <c r="M50" i="2"/>
  <c r="M50" i="3" s="1"/>
  <c r="N50" i="2"/>
  <c r="N50" i="3" s="1"/>
  <c r="O50" i="2"/>
  <c r="O50" i="3" s="1"/>
  <c r="P50" i="2"/>
  <c r="P50" i="3" s="1"/>
  <c r="Q50" i="2"/>
  <c r="Q50" i="3" s="1"/>
  <c r="R50" i="2"/>
  <c r="R50" i="3" s="1"/>
  <c r="S50" i="2"/>
  <c r="S50" i="3" s="1"/>
  <c r="T50" i="2"/>
  <c r="T50" i="3" s="1"/>
  <c r="U50" i="2"/>
  <c r="U50" i="3" s="1"/>
  <c r="V50" i="2"/>
  <c r="V50" i="3" s="1"/>
  <c r="C51" i="2"/>
  <c r="C51" i="3" s="1"/>
  <c r="D51" i="2"/>
  <c r="D51" i="3" s="1"/>
  <c r="E51" i="2"/>
  <c r="E51" i="3" s="1"/>
  <c r="F51" i="2"/>
  <c r="F51" i="3" s="1"/>
  <c r="G51" i="2"/>
  <c r="G51" i="3" s="1"/>
  <c r="H51" i="2"/>
  <c r="H51" i="3" s="1"/>
  <c r="I51" i="2"/>
  <c r="I51" i="3" s="1"/>
  <c r="J51" i="2"/>
  <c r="J51" i="3" s="1"/>
  <c r="K51" i="2"/>
  <c r="K51" i="3" s="1"/>
  <c r="L51" i="2"/>
  <c r="L51" i="3" s="1"/>
  <c r="M51" i="2"/>
  <c r="M51" i="3" s="1"/>
  <c r="N51" i="2"/>
  <c r="N51" i="3" s="1"/>
  <c r="O51" i="2"/>
  <c r="O51" i="3" s="1"/>
  <c r="P51" i="2"/>
  <c r="P51" i="3" s="1"/>
  <c r="Q51" i="2"/>
  <c r="Q51" i="3" s="1"/>
  <c r="R51" i="2"/>
  <c r="R51" i="3" s="1"/>
  <c r="S51" i="2"/>
  <c r="S51" i="3" s="1"/>
  <c r="T51" i="2"/>
  <c r="T51" i="3" s="1"/>
  <c r="U51" i="2"/>
  <c r="U51" i="3" s="1"/>
  <c r="V51" i="2"/>
  <c r="V51" i="3" s="1"/>
  <c r="C52" i="2"/>
  <c r="C52" i="3" s="1"/>
  <c r="D52" i="2"/>
  <c r="D52" i="3" s="1"/>
  <c r="E52" i="2"/>
  <c r="E52" i="3" s="1"/>
  <c r="F52" i="2"/>
  <c r="F52" i="3" s="1"/>
  <c r="G52" i="2"/>
  <c r="G52" i="3" s="1"/>
  <c r="H52" i="2"/>
  <c r="H52" i="3" s="1"/>
  <c r="I52" i="2"/>
  <c r="I52" i="3" s="1"/>
  <c r="J52" i="2"/>
  <c r="J52" i="3" s="1"/>
  <c r="K52" i="2"/>
  <c r="K52" i="3" s="1"/>
  <c r="L52" i="2"/>
  <c r="L52" i="3" s="1"/>
  <c r="M52" i="2"/>
  <c r="M52" i="3" s="1"/>
  <c r="N52" i="2"/>
  <c r="N52" i="3" s="1"/>
  <c r="O52" i="2"/>
  <c r="O52" i="3" s="1"/>
  <c r="P52" i="2"/>
  <c r="P52" i="3" s="1"/>
  <c r="Q52" i="2"/>
  <c r="Q52" i="3" s="1"/>
  <c r="R52" i="2"/>
  <c r="R52" i="3" s="1"/>
  <c r="S52" i="2"/>
  <c r="S52" i="3" s="1"/>
  <c r="T52" i="2"/>
  <c r="T52" i="3" s="1"/>
  <c r="U52" i="2"/>
  <c r="U52" i="3" s="1"/>
  <c r="V52" i="2"/>
  <c r="V52" i="3" s="1"/>
  <c r="C53" i="2"/>
  <c r="C53" i="3" s="1"/>
  <c r="D53" i="2"/>
  <c r="D53" i="3" s="1"/>
  <c r="E53" i="2"/>
  <c r="E53" i="3" s="1"/>
  <c r="F53" i="2"/>
  <c r="F53" i="3" s="1"/>
  <c r="G53" i="2"/>
  <c r="G53" i="3" s="1"/>
  <c r="H53" i="2"/>
  <c r="H53" i="3" s="1"/>
  <c r="I53" i="2"/>
  <c r="I53" i="3" s="1"/>
  <c r="J53" i="2"/>
  <c r="J53" i="3" s="1"/>
  <c r="K53" i="2"/>
  <c r="K53" i="3" s="1"/>
  <c r="L53" i="2"/>
  <c r="L53" i="3" s="1"/>
  <c r="M53" i="2"/>
  <c r="M53" i="3" s="1"/>
  <c r="N53" i="2"/>
  <c r="N53" i="3" s="1"/>
  <c r="O53" i="2"/>
  <c r="O53" i="3" s="1"/>
  <c r="P53" i="2"/>
  <c r="P53" i="3" s="1"/>
  <c r="Q53" i="2"/>
  <c r="Q53" i="3" s="1"/>
  <c r="R53" i="2"/>
  <c r="R53" i="3" s="1"/>
  <c r="S53" i="2"/>
  <c r="S53" i="3" s="1"/>
  <c r="T53" i="2"/>
  <c r="T53" i="3" s="1"/>
  <c r="U53" i="2"/>
  <c r="U53" i="3" s="1"/>
  <c r="V53" i="2"/>
  <c r="V53" i="3" s="1"/>
  <c r="C54" i="2"/>
  <c r="C54" i="3" s="1"/>
  <c r="D54" i="2"/>
  <c r="D54" i="3" s="1"/>
  <c r="E54" i="2"/>
  <c r="E54" i="3" s="1"/>
  <c r="F54" i="2"/>
  <c r="F54" i="3" s="1"/>
  <c r="G54" i="2"/>
  <c r="G54" i="3" s="1"/>
  <c r="H54" i="2"/>
  <c r="H54" i="3" s="1"/>
  <c r="I54" i="2"/>
  <c r="I54" i="3" s="1"/>
  <c r="J54" i="2"/>
  <c r="J54" i="3" s="1"/>
  <c r="K54" i="2"/>
  <c r="K54" i="3" s="1"/>
  <c r="L54" i="2"/>
  <c r="L54" i="3" s="1"/>
  <c r="M54" i="2"/>
  <c r="M54" i="3" s="1"/>
  <c r="N54" i="2"/>
  <c r="N54" i="3" s="1"/>
  <c r="O54" i="2"/>
  <c r="O54" i="3" s="1"/>
  <c r="P54" i="2"/>
  <c r="P54" i="3" s="1"/>
  <c r="Q54" i="2"/>
  <c r="Q54" i="3" s="1"/>
  <c r="R54" i="2"/>
  <c r="R54" i="3" s="1"/>
  <c r="S54" i="2"/>
  <c r="S54" i="3" s="1"/>
  <c r="T54" i="2"/>
  <c r="T54" i="3" s="1"/>
  <c r="U54" i="2"/>
  <c r="U54" i="3" s="1"/>
  <c r="V54" i="2"/>
  <c r="V54" i="3" s="1"/>
  <c r="C55" i="2"/>
  <c r="C55" i="3" s="1"/>
  <c r="D55" i="2"/>
  <c r="D55" i="3" s="1"/>
  <c r="E55" i="2"/>
  <c r="E55" i="3" s="1"/>
  <c r="F55" i="2"/>
  <c r="F55" i="3" s="1"/>
  <c r="G55" i="2"/>
  <c r="G55" i="3" s="1"/>
  <c r="H55" i="2"/>
  <c r="H55" i="3" s="1"/>
  <c r="I55" i="2"/>
  <c r="I55" i="3" s="1"/>
  <c r="J55" i="2"/>
  <c r="J55" i="3" s="1"/>
  <c r="K55" i="2"/>
  <c r="K55" i="3" s="1"/>
  <c r="L55" i="2"/>
  <c r="L55" i="3" s="1"/>
  <c r="M55" i="2"/>
  <c r="M55" i="3" s="1"/>
  <c r="N55" i="2"/>
  <c r="N55" i="3" s="1"/>
  <c r="O55" i="2"/>
  <c r="O55" i="3" s="1"/>
  <c r="P55" i="2"/>
  <c r="P55" i="3" s="1"/>
  <c r="Q55" i="2"/>
  <c r="Q55" i="3" s="1"/>
  <c r="R55" i="2"/>
  <c r="R55" i="3" s="1"/>
  <c r="S55" i="2"/>
  <c r="S55" i="3" s="1"/>
  <c r="T55" i="2"/>
  <c r="T55" i="3" s="1"/>
  <c r="U55" i="2"/>
  <c r="U55" i="3" s="1"/>
  <c r="V55" i="2"/>
  <c r="V55" i="3" s="1"/>
  <c r="C56" i="2"/>
  <c r="C56" i="3" s="1"/>
  <c r="D56" i="2"/>
  <c r="D56" i="3" s="1"/>
  <c r="E56" i="2"/>
  <c r="E56" i="3" s="1"/>
  <c r="F56" i="2"/>
  <c r="F56" i="3" s="1"/>
  <c r="G56" i="2"/>
  <c r="G56" i="3" s="1"/>
  <c r="H56" i="2"/>
  <c r="H56" i="3" s="1"/>
  <c r="I56" i="2"/>
  <c r="I56" i="3" s="1"/>
  <c r="J56" i="2"/>
  <c r="J56" i="3" s="1"/>
  <c r="K56" i="2"/>
  <c r="K56" i="3" s="1"/>
  <c r="L56" i="2"/>
  <c r="L56" i="3" s="1"/>
  <c r="M56" i="2"/>
  <c r="M56" i="3" s="1"/>
  <c r="N56" i="2"/>
  <c r="N56" i="3" s="1"/>
  <c r="O56" i="2"/>
  <c r="O56" i="3" s="1"/>
  <c r="P56" i="2"/>
  <c r="P56" i="3" s="1"/>
  <c r="Q56" i="2"/>
  <c r="Q56" i="3" s="1"/>
  <c r="R56" i="2"/>
  <c r="R56" i="3" s="1"/>
  <c r="S56" i="2"/>
  <c r="S56" i="3" s="1"/>
  <c r="T56" i="2"/>
  <c r="T56" i="3" s="1"/>
  <c r="U56" i="2"/>
  <c r="U56" i="3" s="1"/>
  <c r="V56" i="2"/>
  <c r="V56" i="3" s="1"/>
  <c r="C57" i="2"/>
  <c r="C57" i="3" s="1"/>
  <c r="D57" i="2"/>
  <c r="D57" i="3" s="1"/>
  <c r="E57" i="2"/>
  <c r="E57" i="3" s="1"/>
  <c r="F57" i="2"/>
  <c r="F57" i="3" s="1"/>
  <c r="G57" i="2"/>
  <c r="G57" i="3" s="1"/>
  <c r="H57" i="2"/>
  <c r="H57" i="3" s="1"/>
  <c r="I57" i="2"/>
  <c r="I57" i="3" s="1"/>
  <c r="J57" i="2"/>
  <c r="J57" i="3" s="1"/>
  <c r="K57" i="2"/>
  <c r="K57" i="3" s="1"/>
  <c r="L57" i="2"/>
  <c r="L57" i="3" s="1"/>
  <c r="M57" i="2"/>
  <c r="M57" i="3" s="1"/>
  <c r="N57" i="2"/>
  <c r="N57" i="3" s="1"/>
  <c r="O57" i="2"/>
  <c r="O57" i="3" s="1"/>
  <c r="P57" i="2"/>
  <c r="P57" i="3" s="1"/>
  <c r="Q57" i="2"/>
  <c r="Q57" i="3" s="1"/>
  <c r="R57" i="2"/>
  <c r="R57" i="3" s="1"/>
  <c r="S57" i="2"/>
  <c r="S57" i="3" s="1"/>
  <c r="T57" i="2"/>
  <c r="T57" i="3" s="1"/>
  <c r="U57" i="2"/>
  <c r="U57" i="3" s="1"/>
  <c r="V57" i="2"/>
  <c r="V57" i="3" s="1"/>
  <c r="C58" i="2"/>
  <c r="C58" i="3" s="1"/>
  <c r="D58" i="2"/>
  <c r="D58" i="3" s="1"/>
  <c r="E58" i="2"/>
  <c r="E58" i="3" s="1"/>
  <c r="F58" i="2"/>
  <c r="F58" i="3" s="1"/>
  <c r="G58" i="2"/>
  <c r="G58" i="3" s="1"/>
  <c r="H58" i="2"/>
  <c r="H58" i="3" s="1"/>
  <c r="I58" i="2"/>
  <c r="I58" i="3" s="1"/>
  <c r="J58" i="2"/>
  <c r="J58" i="3" s="1"/>
  <c r="K58" i="2"/>
  <c r="K58" i="3" s="1"/>
  <c r="L58" i="2"/>
  <c r="L58" i="3" s="1"/>
  <c r="M58" i="2"/>
  <c r="M58" i="3" s="1"/>
  <c r="N58" i="2"/>
  <c r="N58" i="3" s="1"/>
  <c r="O58" i="2"/>
  <c r="O58" i="3" s="1"/>
  <c r="P58" i="2"/>
  <c r="P58" i="3" s="1"/>
  <c r="Q58" i="2"/>
  <c r="Q58" i="3" s="1"/>
  <c r="R58" i="2"/>
  <c r="R58" i="3" s="1"/>
  <c r="S58" i="2"/>
  <c r="S58" i="3" s="1"/>
  <c r="T58" i="2"/>
  <c r="T58" i="3" s="1"/>
  <c r="U58" i="2"/>
  <c r="U58" i="3" s="1"/>
  <c r="V58" i="2"/>
  <c r="V58" i="3" s="1"/>
  <c r="C59" i="2"/>
  <c r="C59" i="3" s="1"/>
  <c r="D59" i="2"/>
  <c r="D59" i="3" s="1"/>
  <c r="E59" i="2"/>
  <c r="E59" i="3" s="1"/>
  <c r="F59" i="2"/>
  <c r="F59" i="3" s="1"/>
  <c r="G59" i="2"/>
  <c r="G59" i="3" s="1"/>
  <c r="H59" i="2"/>
  <c r="H59" i="3" s="1"/>
  <c r="I59" i="2"/>
  <c r="I59" i="3" s="1"/>
  <c r="J59" i="2"/>
  <c r="J59" i="3" s="1"/>
  <c r="K59" i="2"/>
  <c r="K59" i="3" s="1"/>
  <c r="L59" i="2"/>
  <c r="L59" i="3" s="1"/>
  <c r="M59" i="2"/>
  <c r="M59" i="3" s="1"/>
  <c r="N59" i="2"/>
  <c r="N59" i="3" s="1"/>
  <c r="O59" i="2"/>
  <c r="O59" i="3" s="1"/>
  <c r="P59" i="2"/>
  <c r="P59" i="3" s="1"/>
  <c r="Q59" i="2"/>
  <c r="Q59" i="3" s="1"/>
  <c r="R59" i="2"/>
  <c r="R59" i="3" s="1"/>
  <c r="S59" i="2"/>
  <c r="S59" i="3" s="1"/>
  <c r="T59" i="2"/>
  <c r="T59" i="3" s="1"/>
  <c r="U59" i="2"/>
  <c r="U59" i="3" s="1"/>
  <c r="V59" i="2"/>
  <c r="V59" i="3" s="1"/>
  <c r="C60" i="2"/>
  <c r="C60" i="3" s="1"/>
  <c r="D60" i="2"/>
  <c r="D60" i="3" s="1"/>
  <c r="E60" i="2"/>
  <c r="E60" i="3" s="1"/>
  <c r="F60" i="2"/>
  <c r="F60" i="3" s="1"/>
  <c r="G60" i="2"/>
  <c r="G60" i="3" s="1"/>
  <c r="H60" i="2"/>
  <c r="H60" i="3" s="1"/>
  <c r="I60" i="2"/>
  <c r="I60" i="3" s="1"/>
  <c r="J60" i="2"/>
  <c r="J60" i="3" s="1"/>
  <c r="K60" i="2"/>
  <c r="K60" i="3" s="1"/>
  <c r="L60" i="2"/>
  <c r="L60" i="3" s="1"/>
  <c r="M60" i="2"/>
  <c r="M60" i="3" s="1"/>
  <c r="N60" i="2"/>
  <c r="N60" i="3" s="1"/>
  <c r="O60" i="2"/>
  <c r="O60" i="3" s="1"/>
  <c r="P60" i="2"/>
  <c r="P60" i="3" s="1"/>
  <c r="Q60" i="2"/>
  <c r="Q60" i="3" s="1"/>
  <c r="R60" i="2"/>
  <c r="R60" i="3" s="1"/>
  <c r="S60" i="2"/>
  <c r="S60" i="3" s="1"/>
  <c r="T60" i="2"/>
  <c r="T60" i="3" s="1"/>
  <c r="U60" i="2"/>
  <c r="U60" i="3" s="1"/>
  <c r="V60" i="2"/>
  <c r="V60" i="3" s="1"/>
  <c r="C61" i="2"/>
  <c r="C61" i="3" s="1"/>
  <c r="D61" i="2"/>
  <c r="D61" i="3" s="1"/>
  <c r="E61" i="2"/>
  <c r="E61" i="3" s="1"/>
  <c r="F61" i="2"/>
  <c r="F61" i="3" s="1"/>
  <c r="G61" i="2"/>
  <c r="G61" i="3" s="1"/>
  <c r="H61" i="2"/>
  <c r="H61" i="3" s="1"/>
  <c r="I61" i="2"/>
  <c r="I61" i="3" s="1"/>
  <c r="J61" i="2"/>
  <c r="J61" i="3" s="1"/>
  <c r="K61" i="2"/>
  <c r="K61" i="3" s="1"/>
  <c r="L61" i="2"/>
  <c r="L61" i="3" s="1"/>
  <c r="M61" i="2"/>
  <c r="M61" i="3" s="1"/>
  <c r="N61" i="2"/>
  <c r="N61" i="3" s="1"/>
  <c r="O61" i="2"/>
  <c r="O61" i="3" s="1"/>
  <c r="P61" i="2"/>
  <c r="P61" i="3" s="1"/>
  <c r="Q61" i="2"/>
  <c r="Q61" i="3" s="1"/>
  <c r="R61" i="2"/>
  <c r="R61" i="3" s="1"/>
  <c r="S61" i="2"/>
  <c r="S61" i="3" s="1"/>
  <c r="T61" i="2"/>
  <c r="T61" i="3" s="1"/>
  <c r="U61" i="2"/>
  <c r="U61" i="3" s="1"/>
  <c r="V61" i="2"/>
  <c r="V61" i="3" s="1"/>
  <c r="C62" i="2"/>
  <c r="C62" i="3" s="1"/>
  <c r="D62" i="2"/>
  <c r="D62" i="3" s="1"/>
  <c r="E62" i="2"/>
  <c r="E62" i="3" s="1"/>
  <c r="F62" i="2"/>
  <c r="F62" i="3" s="1"/>
  <c r="G62" i="2"/>
  <c r="G62" i="3" s="1"/>
  <c r="H62" i="2"/>
  <c r="H62" i="3" s="1"/>
  <c r="I62" i="2"/>
  <c r="I62" i="3" s="1"/>
  <c r="J62" i="2"/>
  <c r="J62" i="3" s="1"/>
  <c r="K62" i="2"/>
  <c r="K62" i="3" s="1"/>
  <c r="L62" i="2"/>
  <c r="L62" i="3" s="1"/>
  <c r="M62" i="2"/>
  <c r="M62" i="3" s="1"/>
  <c r="N62" i="2"/>
  <c r="N62" i="3" s="1"/>
  <c r="O62" i="2"/>
  <c r="O62" i="3" s="1"/>
  <c r="P62" i="2"/>
  <c r="P62" i="3" s="1"/>
  <c r="Q62" i="2"/>
  <c r="Q62" i="3" s="1"/>
  <c r="R62" i="2"/>
  <c r="R62" i="3" s="1"/>
  <c r="S62" i="2"/>
  <c r="S62" i="3" s="1"/>
  <c r="T62" i="2"/>
  <c r="T62" i="3" s="1"/>
  <c r="U62" i="2"/>
  <c r="U62" i="3" s="1"/>
  <c r="V62" i="2"/>
  <c r="V62" i="3" s="1"/>
  <c r="B4" i="2"/>
  <c r="B5" i="2"/>
  <c r="B5" i="3" s="1"/>
  <c r="B6" i="2"/>
  <c r="B6" i="3" s="1"/>
  <c r="B7" i="2"/>
  <c r="B7" i="3" s="1"/>
  <c r="B8" i="2"/>
  <c r="B8" i="3" s="1"/>
  <c r="B9" i="2"/>
  <c r="B9" i="3" s="1"/>
  <c r="B10" i="2"/>
  <c r="B10" i="3" s="1"/>
  <c r="B11" i="2"/>
  <c r="B11" i="3" s="1"/>
  <c r="B12" i="2"/>
  <c r="B12" i="3" s="1"/>
  <c r="B13" i="2"/>
  <c r="B13" i="3" s="1"/>
  <c r="B14" i="2"/>
  <c r="B14" i="3" s="1"/>
  <c r="B15" i="2"/>
  <c r="B15" i="3" s="1"/>
  <c r="B16" i="2"/>
  <c r="B16" i="3" s="1"/>
  <c r="B17" i="2"/>
  <c r="B17" i="3" s="1"/>
  <c r="B18" i="2"/>
  <c r="B18" i="3" s="1"/>
  <c r="B19" i="2"/>
  <c r="B19" i="3" s="1"/>
  <c r="B20" i="2"/>
  <c r="B20" i="3" s="1"/>
  <c r="B21" i="2"/>
  <c r="B21" i="3" s="1"/>
  <c r="B22" i="2"/>
  <c r="B22" i="3" s="1"/>
  <c r="B23" i="2"/>
  <c r="B23" i="3" s="1"/>
  <c r="B24" i="2"/>
  <c r="B24" i="3" s="1"/>
  <c r="B25" i="2"/>
  <c r="B25" i="3" s="1"/>
  <c r="B26" i="2"/>
  <c r="B26" i="3" s="1"/>
  <c r="B27" i="2"/>
  <c r="B27" i="3" s="1"/>
  <c r="B28" i="2"/>
  <c r="B28" i="3" s="1"/>
  <c r="B29" i="2"/>
  <c r="B29" i="3" s="1"/>
  <c r="B30" i="2"/>
  <c r="B30" i="3" s="1"/>
  <c r="B31" i="2"/>
  <c r="B31" i="3" s="1"/>
  <c r="B32" i="2"/>
  <c r="B32" i="3" s="1"/>
  <c r="B33" i="2"/>
  <c r="B33" i="3" s="1"/>
  <c r="B34" i="2"/>
  <c r="B34" i="3" s="1"/>
  <c r="B35" i="2"/>
  <c r="B35" i="3" s="1"/>
  <c r="B36" i="2"/>
  <c r="B36" i="3" s="1"/>
  <c r="B37" i="2"/>
  <c r="B37" i="3" s="1"/>
  <c r="B38" i="2"/>
  <c r="B38" i="3" s="1"/>
  <c r="B39" i="2"/>
  <c r="B39" i="3" s="1"/>
  <c r="B40" i="2"/>
  <c r="B40" i="3" s="1"/>
  <c r="B41" i="2"/>
  <c r="B41" i="3" s="1"/>
  <c r="B42" i="2"/>
  <c r="B42" i="3" s="1"/>
  <c r="B43" i="2"/>
  <c r="B43" i="3" s="1"/>
  <c r="B44" i="2"/>
  <c r="B44" i="3" s="1"/>
  <c r="B45" i="2"/>
  <c r="B45" i="3" s="1"/>
  <c r="B46" i="2"/>
  <c r="B46" i="3" s="1"/>
  <c r="B47" i="2"/>
  <c r="B47" i="3" s="1"/>
  <c r="B48" i="2"/>
  <c r="B48" i="3" s="1"/>
  <c r="B49" i="2"/>
  <c r="B49" i="3" s="1"/>
  <c r="B50" i="2"/>
  <c r="B50" i="3" s="1"/>
  <c r="B51" i="2"/>
  <c r="B51" i="3" s="1"/>
  <c r="B52" i="2"/>
  <c r="B52" i="3" s="1"/>
  <c r="B53" i="2"/>
  <c r="B53" i="3" s="1"/>
  <c r="B54" i="2"/>
  <c r="B54" i="3" s="1"/>
  <c r="B55" i="2"/>
  <c r="B55" i="3" s="1"/>
  <c r="B56" i="2"/>
  <c r="B56" i="3" s="1"/>
  <c r="B57" i="2"/>
  <c r="B57" i="3" s="1"/>
  <c r="B58" i="2"/>
  <c r="B58" i="3" s="1"/>
  <c r="B59" i="2"/>
  <c r="B59" i="3" s="1"/>
  <c r="B60" i="2"/>
  <c r="B60" i="3" s="1"/>
  <c r="B61" i="2"/>
  <c r="B61" i="3" s="1"/>
  <c r="B62" i="2"/>
  <c r="B62" i="3" s="1"/>
  <c r="B3" i="2"/>
  <c r="G20" i="11" l="1"/>
  <c r="G21" i="11" s="1"/>
  <c r="G23" i="11" s="1"/>
  <c r="B16" i="7"/>
  <c r="B2" i="7"/>
  <c r="B17" i="7"/>
  <c r="B14" i="7"/>
  <c r="B15" i="7"/>
  <c r="B7" i="7"/>
  <c r="B6" i="7"/>
  <c r="B5" i="7"/>
  <c r="B18" i="7"/>
  <c r="B8" i="7"/>
  <c r="B9" i="9"/>
  <c r="B19" i="9"/>
  <c r="B10" i="9"/>
  <c r="B20" i="9"/>
  <c r="B11" i="9"/>
  <c r="B21" i="9"/>
  <c r="B12" i="9"/>
  <c r="B4" i="7"/>
  <c r="B3" i="9"/>
  <c r="D24" i="9" s="1"/>
  <c r="B13" i="9"/>
  <c r="I3" i="3"/>
  <c r="R3" i="3"/>
  <c r="H3" i="3"/>
  <c r="V6" i="3"/>
  <c r="L4" i="3"/>
  <c r="L3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<sst xmlns="http://schemas.openxmlformats.org/spreadsheetml/2006/main" count="624" uniqueCount="164">
  <si>
    <t>Date</t>
  </si>
  <si>
    <t>11/30/2019</t>
  </si>
  <si>
    <t>12/31/2019</t>
  </si>
  <si>
    <t>1/31/2020</t>
  </si>
  <si>
    <t>2/29/2020</t>
  </si>
  <si>
    <t>3/31/2020</t>
  </si>
  <si>
    <t>4/30/2020</t>
  </si>
  <si>
    <t>5/31/2020</t>
  </si>
  <si>
    <t>6/30/2020</t>
  </si>
  <si>
    <t>7/31/2020</t>
  </si>
  <si>
    <t>8/31/2020</t>
  </si>
  <si>
    <t>9/30/2020</t>
  </si>
  <si>
    <t>10/31/2020</t>
  </si>
  <si>
    <t>11/30/2020</t>
  </si>
  <si>
    <t>12/31/2020</t>
  </si>
  <si>
    <t>1/31/2021</t>
  </si>
  <si>
    <t>2/28/2021</t>
  </si>
  <si>
    <t>3/31/2021</t>
  </si>
  <si>
    <t>4/30/2021</t>
  </si>
  <si>
    <t>5/31/2021</t>
  </si>
  <si>
    <t>6/30/2021</t>
  </si>
  <si>
    <t>7/31/2021</t>
  </si>
  <si>
    <t>8/31/2021</t>
  </si>
  <si>
    <t>9/30/2021</t>
  </si>
  <si>
    <t>10/31/2021</t>
  </si>
  <si>
    <t>11/30/2021</t>
  </si>
  <si>
    <t>12/31/2021</t>
  </si>
  <si>
    <t>1/31/2022</t>
  </si>
  <si>
    <t>2/28/2022</t>
  </si>
  <si>
    <t>3/31/2022</t>
  </si>
  <si>
    <t>4/30/2022</t>
  </si>
  <si>
    <t>5/31/2022</t>
  </si>
  <si>
    <t>6/30/2022</t>
  </si>
  <si>
    <t>7/31/2022</t>
  </si>
  <si>
    <t>8/31/2022</t>
  </si>
  <si>
    <t>9/30/2022</t>
  </si>
  <si>
    <t>10/31/2022</t>
  </si>
  <si>
    <t>11/30/2022</t>
  </si>
  <si>
    <t>12/31/2022</t>
  </si>
  <si>
    <t>1/31/2023</t>
  </si>
  <si>
    <t>2/28/2023</t>
  </si>
  <si>
    <t>3/31/2023</t>
  </si>
  <si>
    <t>4/30/2023</t>
  </si>
  <si>
    <t>5/31/2023</t>
  </si>
  <si>
    <t>6/30/2023</t>
  </si>
  <si>
    <t>7/31/2023</t>
  </si>
  <si>
    <t>8/31/2023</t>
  </si>
  <si>
    <t>9/30/2023</t>
  </si>
  <si>
    <t>10/31/2023</t>
  </si>
  <si>
    <t>11/30/2023</t>
  </si>
  <si>
    <t>12/31/2023</t>
  </si>
  <si>
    <t>1/31/2024</t>
  </si>
  <si>
    <t>2/29/2024</t>
  </si>
  <si>
    <t>3/31/2024</t>
  </si>
  <si>
    <t>4/30/2024</t>
  </si>
  <si>
    <t>5/31/2024</t>
  </si>
  <si>
    <t>6/30/2024</t>
  </si>
  <si>
    <t>7/31/2024</t>
  </si>
  <si>
    <t>8/31/2024</t>
  </si>
  <si>
    <t>9/30/2024</t>
  </si>
  <si>
    <t>10/31/2024</t>
  </si>
  <si>
    <t>11/30/2024</t>
  </si>
  <si>
    <t>S&amp;P 500</t>
  </si>
  <si>
    <t>AAPL.US</t>
  </si>
  <si>
    <t>MSFT.US</t>
  </si>
  <si>
    <t>GOOGL.US</t>
  </si>
  <si>
    <t>NVDA.US</t>
  </si>
  <si>
    <t>META.US</t>
  </si>
  <si>
    <t>JNJ.US</t>
  </si>
  <si>
    <t>PFE.US</t>
  </si>
  <si>
    <t>UNH.US</t>
  </si>
  <si>
    <t>MRK.US</t>
  </si>
  <si>
    <t>ABBV.US</t>
  </si>
  <si>
    <t>XOM.US</t>
  </si>
  <si>
    <t>CVX.US</t>
  </si>
  <si>
    <t>COP.US</t>
  </si>
  <si>
    <t>SLB.US</t>
  </si>
  <si>
    <t>OXY.US</t>
  </si>
  <si>
    <t>AMZN.US</t>
  </si>
  <si>
    <t>TSLA.US</t>
  </si>
  <si>
    <t>NKE.US</t>
  </si>
  <si>
    <t>HD.US</t>
  </si>
  <si>
    <t>MCD.US</t>
  </si>
  <si>
    <t>N/A</t>
  </si>
  <si>
    <t>observation_date</t>
  </si>
  <si>
    <t>TB3MS</t>
  </si>
  <si>
    <t>RF_Monthly</t>
  </si>
  <si>
    <t>MonthEnd</t>
  </si>
  <si>
    <t>Asset</t>
  </si>
  <si>
    <t>Mean_Excess_Return</t>
  </si>
  <si>
    <t>Std_Dev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</si>
  <si>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</si>
  <si>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</si>
  <si>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</si>
  <si>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</si>
  <si>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</si>
  <si>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</si>
  <si>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</si>
  <si>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</si>
  <si>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</si>
  <si>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</si>
  <si>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</si>
  <si>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</si>
  <si>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</si>
  <si>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</si>
  <si>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</si>
  <si>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</si>
  <si>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</si>
  <si>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</si>
  <si>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Column 19</t>
  </si>
  <si>
    <t>Column 20</t>
  </si>
  <si>
    <t>Column 21</t>
  </si>
  <si>
    <t>Expected Excess Return</t>
  </si>
  <si>
    <t>Weight</t>
  </si>
  <si>
    <t>Sum of  Weights</t>
  </si>
  <si>
    <t>Portfolio Excess Return</t>
  </si>
  <si>
    <t>Portfolio Variance</t>
  </si>
  <si>
    <t>Portfolio Volatility</t>
  </si>
  <si>
    <t>Target Excess Return</t>
  </si>
  <si>
    <t>Expected Return</t>
  </si>
  <si>
    <t>Volatility</t>
  </si>
  <si>
    <t>Sharpe</t>
  </si>
  <si>
    <t>Tangency Target (Restricted)</t>
  </si>
  <si>
    <t xml:space="preserve">Tangency Volatility </t>
  </si>
  <si>
    <t>Tangenecy Weights</t>
  </si>
  <si>
    <t>Beta</t>
  </si>
  <si>
    <t>Weights</t>
  </si>
  <si>
    <t xml:space="preserve">Target Returns </t>
  </si>
  <si>
    <t>High Beta Portfolio Excess Return</t>
  </si>
  <si>
    <t>High Beta Portfolio Variance</t>
  </si>
  <si>
    <t>High Beta Portfolio Volatility</t>
  </si>
  <si>
    <t>Low Beta Portfolio Excess Return</t>
  </si>
  <si>
    <t>Low Beta Portfolio Variance</t>
  </si>
  <si>
    <t>Low Beta Portfolio Volatility</t>
  </si>
  <si>
    <t>Covariance Matrix (20 stocks)</t>
  </si>
  <si>
    <t>Frontier Point</t>
  </si>
  <si>
    <t>Excess Return</t>
  </si>
  <si>
    <t>Variance</t>
  </si>
  <si>
    <t>Volatilty</t>
  </si>
  <si>
    <t>Weight AAPL.US</t>
  </si>
  <si>
    <t>Weight MSFT.US</t>
  </si>
  <si>
    <t>Weight NVDA.US</t>
  </si>
  <si>
    <t>Weight META.US</t>
  </si>
  <si>
    <t>Weight JNJ.US</t>
  </si>
  <si>
    <t>Weight PFE.US</t>
  </si>
  <si>
    <t>Wight UNH.US</t>
  </si>
  <si>
    <t>Weight MRK.US</t>
  </si>
  <si>
    <t>Weight ABBV.US</t>
  </si>
  <si>
    <t>Weight XOM.US</t>
  </si>
  <si>
    <t>Weight CVX.US</t>
  </si>
  <si>
    <t>Weight COP.US</t>
  </si>
  <si>
    <t>Weight SLB.US</t>
  </si>
  <si>
    <t>Weight OXY.US</t>
  </si>
  <si>
    <t>Weight AMZN.US</t>
  </si>
  <si>
    <t>Weight TSLA.US</t>
  </si>
  <si>
    <t>Weight NKE.US</t>
  </si>
  <si>
    <t>Weight HD.US</t>
  </si>
  <si>
    <t>Weight MCD.US</t>
  </si>
  <si>
    <t>Weight GOOGL.US</t>
  </si>
  <si>
    <t>Sum Of Weights</t>
  </si>
  <si>
    <t>Efficient Frontier – No Short Selling</t>
  </si>
  <si>
    <t>Portfolios obtained via mean–variance optimisation (61 monthly returns, Nov 2019–Nov 2024)</t>
  </si>
  <si>
    <t>Weight UNH.US</t>
  </si>
  <si>
    <t>Return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</si>
</sst>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0000E+00"/>
    <numFmt numFmtId="165" formatCode="_(* #,##0.00000_);_(* \(#,##0.00000\);_(* &quot;-&quot;??_);_(@_)"/>
    <numFmt numFmtId="166" formatCode="0.00000000000"/>
    <numFmt numFmtId="167" formatCode="0.0000000000000"/>
    <numFmt numFmtId="168" formatCode="0.0000000"/>
  </numFmts>
  <fonts count="8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i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0" fillId="0" borderId="1" xfId="0" applyBorder="1"/>
    <xf numFmtId="0" fontId="3" fillId="0" borderId="2" xfId="0" applyFont="1" applyBorder="1" applyAlignment="1">
      <alignment horizontal="center"/>
    </xf>
    <xf numFmtId="11" fontId="0" fillId="0" borderId="0" xfId="0" applyNumberFormat="1"/>
    <xf numFmtId="0" fontId="4" fillId="0" borderId="0" xfId="0" applyFont="1"/>
    <xf numFmtId="0" fontId="5" fillId="0" borderId="0" xfId="0" applyFont="1"/>
    <xf numFmtId="164" fontId="0" fillId="0" borderId="0" xfId="0" applyNumberFormat="1"/>
    <xf numFmtId="165" fontId="0" fillId="0" borderId="0" xfId="1" applyNumberFormat="1" applyFont="1"/>
    <xf numFmtId="0" fontId="4" fillId="0" borderId="0" xfId="1" applyNumberFormat="1" applyFont="1"/>
    <xf numFmtId="0" fontId="0" fillId="0" borderId="0" xfId="1" applyNumberFormat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FB0924-DF2F-DA42-91DE-8F9480F325BB}" name="Table1" displayName="Table1" ref="E10:AF33" totalsRowShown="0">
  <autoFilter ref="E10:AF33" xr:uid="{3DFB0924-DF2F-DA42-91DE-8F9480F325BB}"/>
  <tableColumns count="28">
    <tableColumn id="1" xr3:uid="{2FC1D0D9-6A8E-5840-BC90-5138CE32DE11}" name="Frontier Point"/>
    <tableColumn id="24" xr3:uid="{939ECF63-9473-1249-85CD-7C9811D1B50A}" name="Excess Return"/>
    <tableColumn id="23" xr3:uid="{D8F30BDB-B127-774C-BC38-20AB79EF00EA}" name="Target Excess Return"/>
    <tableColumn id="28" xr3:uid="{AA9B3C47-0385-F347-98B7-34C1A6B1A82C}" name="Return Error"/>
    <tableColumn id="22" xr3:uid="{9FF2BE9F-CF67-6A46-B59D-7FF27C215EAC}" name="Variance"/>
    <tableColumn id="21" xr3:uid="{811A579B-A387-2C4C-AC7F-7916E7D81371}" name="Volatilty"/>
    <tableColumn id="27" xr3:uid="{17C29ABF-98A8-C843-9AAD-7811DB9228D8}" name="Sharpe"/>
    <tableColumn id="20" xr3:uid="{EAF023DC-21CA-4142-8D35-BC67366D3097}" name="Weight AAPL.US"/>
    <tableColumn id="25" xr3:uid="{3F4C262B-9384-504E-A4B0-EAA9C7BC0050}" name="Weight MSFT.US"/>
    <tableColumn id="19" xr3:uid="{1020C375-3F80-6B46-A44F-7D5BA8BA7670}" name="Weight GOOGL.US"/>
    <tableColumn id="18" xr3:uid="{693F809E-E5CC-0340-89A7-A26199E121C6}" name="Weight NVDA.US"/>
    <tableColumn id="2" xr3:uid="{68DDE23C-4EA0-7244-B1AA-53DCED6E2890}" name="Weight META.US"/>
    <tableColumn id="3" xr3:uid="{0A46D9F7-1696-3E4F-86E5-B715D3AECDCE}" name="Weight JNJ.US"/>
    <tableColumn id="4" xr3:uid="{FC7F45D3-E2EA-704D-8E7E-4A898A3FDA36}" name="Weight PFE.US"/>
    <tableColumn id="5" xr3:uid="{0181223B-E53D-CC46-8040-0343673489B9}" name="Wight UNH.US"/>
    <tableColumn id="6" xr3:uid="{A4A021A8-C847-CB43-9CD3-5D09E8759094}" name="Weight MRK.US"/>
    <tableColumn id="7" xr3:uid="{E4E455E2-EFBA-BF44-B271-0CE086E8666C}" name="Weight ABBV.US"/>
    <tableColumn id="8" xr3:uid="{0E171CE7-9118-764C-9CAB-FB08DE9C692C}" name="Weight XOM.US"/>
    <tableColumn id="9" xr3:uid="{267F6E3A-2AD0-4242-8421-52CC487C5C93}" name="Weight CVX.US"/>
    <tableColumn id="10" xr3:uid="{EB548810-E837-3E4C-8FF6-CFA421A7C055}" name="Weight COP.US"/>
    <tableColumn id="11" xr3:uid="{CEA94E52-D70A-E041-8EDF-7AC832343E42}" name="Weight SLB.US"/>
    <tableColumn id="12" xr3:uid="{19C6F9FF-7241-1040-97D0-6943C335C392}" name="Weight OXY.US"/>
    <tableColumn id="13" xr3:uid="{10E3B9AB-DE20-8441-B0E9-B76BDF743F46}" name="Weight AMZN.US"/>
    <tableColumn id="14" xr3:uid="{239C181E-6765-8549-88BA-BEFCEEC409DD}" name="Weight TSLA.US"/>
    <tableColumn id="15" xr3:uid="{3DCFC258-10D9-8047-A21A-B6834A0B1CE2}" name="Weight NKE.US"/>
    <tableColumn id="16" xr3:uid="{9945BB23-494D-6345-BC57-ED5B4032E1D7}" name="Weight HD.US"/>
    <tableColumn id="17" xr3:uid="{896FEDCD-357E-7244-BF76-D8563FFF7CDA}" name="Weight MCD.US"/>
    <tableColumn id="26" xr3:uid="{7B6F7EAE-DC4A-BF43-AAD1-B6AA5FFF087B}" name="Sum Of Weights"/>
  </tableColumns>
  <tableStyleInfo name="TableStyleMedium2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8B38A0-4F74-E047-9180-8CDB4930E9B1}" name="Table2" displayName="Table2" ref="F27:AG49" totalsRowShown="0">
  <autoFilter ref="F27:AG49" xr:uid="{998B38A0-4F74-E047-9180-8CDB4930E9B1}"/>
  <tableColumns count="28">
    <tableColumn id="1" xr3:uid="{C1D00FE2-4739-3D40-BFEE-71F868598CD7}" name="Frontier Point"/>
    <tableColumn id="2" xr3:uid="{5E3C825E-2EFC-5C41-BA04-2D1651B92DEA}" name="Excess Return"/>
    <tableColumn id="3" xr3:uid="{1FB1E894-3570-754D-A3FD-BD536D59C477}" name="Target Excess Return"/>
    <tableColumn id="33" xr3:uid="{BFA3F82A-49C0-E44A-8C65-BBC391A1AEE7}" name="Return Error"/>
    <tableColumn id="4" xr3:uid="{DE23F57A-E8A0-1249-8194-253423D12184}" name="Variance"/>
    <tableColumn id="5" xr3:uid="{0D889FA0-BFAF-7648-BA89-F743548E6B89}" name="Volatilty"/>
    <tableColumn id="6" xr3:uid="{5AB7FA96-B590-5045-B752-8CE8D51D27FF}" name="Sharpe"/>
    <tableColumn id="7" xr3:uid="{8E0BE9F5-7F04-804F-84EF-21952B86B677}" name="Weight AAPL.US"/>
    <tableColumn id="8" xr3:uid="{E71E0C9B-FE4A-7A44-A266-584C6EDA3670}" name="Weight MSFT.US"/>
    <tableColumn id="9" xr3:uid="{D1E10065-72CC-7242-8695-73079FCF6CB9}" name="Weight GOOGL.US"/>
    <tableColumn id="10" xr3:uid="{E9B9F82A-A812-D849-9E17-5F16EA35A674}" name="Weight NVDA.US"/>
    <tableColumn id="11" xr3:uid="{10D90F98-80BD-B841-BC8A-CFA3136F003F}" name="Weight META.US"/>
    <tableColumn id="12" xr3:uid="{755E39C7-89F8-3E4D-9FB5-39103419B743}" name="Weight JNJ.US"/>
    <tableColumn id="13" xr3:uid="{238B3B76-7F27-FF41-B340-E0F19A0ACD5F}" name="Weight PFE.US"/>
    <tableColumn id="14" xr3:uid="{F7AFBB0F-3C9E-7D4E-B0BD-EF17A6822AAA}" name="Weight UNH.US"/>
    <tableColumn id="15" xr3:uid="{C5889FE6-3F6F-484E-A1F6-8CDACD43F2FB}" name="Weight MRK.US"/>
    <tableColumn id="16" xr3:uid="{497D432B-A9D3-9A40-B597-713CF9EA9768}" name="Weight ABBV.US"/>
    <tableColumn id="17" xr3:uid="{664B4A47-B30A-DD43-83FF-868D57255BB7}" name="Weight XOM.US"/>
    <tableColumn id="18" xr3:uid="{5A4FCAA4-F451-5345-A122-6C9241868B07}" name="Weight CVX.US"/>
    <tableColumn id="19" xr3:uid="{C6E59C57-3A77-AD49-9DD2-8D271A1CBD3D}" name="Weight COP.US"/>
    <tableColumn id="20" xr3:uid="{30D64C25-6222-1E45-AEFA-09FC4B9A1176}" name="Weight SLB.US"/>
    <tableColumn id="21" xr3:uid="{07F21131-D342-734D-9085-B7266ADF45BC}" name="Weight OXY.US"/>
    <tableColumn id="22" xr3:uid="{0BCC0CA2-6F3B-4348-90CE-349ACC4C2042}" name="Weight AMZN.US"/>
    <tableColumn id="23" xr3:uid="{D9DC30EA-AB23-544A-903A-322E1EBFE2B6}" name="Weight TSLA.US"/>
    <tableColumn id="24" xr3:uid="{3C52DE79-5B71-6C4A-84DB-6445BF9988E6}" name="Weight NKE.US"/>
    <tableColumn id="25" xr3:uid="{5FAB8B4F-69A0-DF47-BFF4-888C068C9BB8}" name="Weight HD.US"/>
    <tableColumn id="26" xr3:uid="{57ADAA12-9036-B842-A7E3-EB24129F44B7}" name="Weight MCD.US"/>
    <tableColumn id="27" xr3:uid="{4762C245-17F0-8648-A576-486671D817A5}" name="Sum Of Weight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E7497-D742-B043-84F0-DC7C4B527466}">
  <dimension ref="A1:V62"/>
  <sheetViews>
    <sheetView zoomScale="75" workbookViewId="0">
      <selection sqref="A1:A1048576"/>
    </sheetView>
  </sheetViews>
  <sheetFormatPr baseColWidth="10" defaultRowHeight="16" x14ac:dyDescent="0.2"/>
  <sheetData>
    <row r="1" spans="1:22" x14ac:dyDescent="0.2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</row>
    <row r="2" spans="1:22" x14ac:dyDescent="0.2">
      <c r="A2" t="s">
        <v>1</v>
      </c>
      <c r="B2">
        <v>3140.98</v>
      </c>
      <c r="C2">
        <v>64.702799999999996</v>
      </c>
      <c r="D2">
        <v>144.81</v>
      </c>
      <c r="E2">
        <v>64.968900000000005</v>
      </c>
      <c r="F2">
        <v>5.3961600000000001</v>
      </c>
      <c r="G2">
        <v>201.64</v>
      </c>
      <c r="H2">
        <v>127.221</v>
      </c>
      <c r="I2">
        <v>34.494500000000002</v>
      </c>
      <c r="J2">
        <v>256.13</v>
      </c>
      <c r="K2">
        <v>74.295500000000004</v>
      </c>
      <c r="L2">
        <v>76.348699999999994</v>
      </c>
      <c r="M2">
        <v>57.166899999999998</v>
      </c>
      <c r="N2">
        <v>101.663</v>
      </c>
      <c r="O2">
        <v>53.7057</v>
      </c>
      <c r="P2">
        <v>33.414299999999997</v>
      </c>
      <c r="Q2">
        <v>36.247</v>
      </c>
      <c r="R2">
        <v>90.04</v>
      </c>
      <c r="S2">
        <v>21.995999999999999</v>
      </c>
      <c r="T2">
        <v>90.9452</v>
      </c>
      <c r="U2">
        <v>204.53200000000001</v>
      </c>
      <c r="V2">
        <v>181.422</v>
      </c>
    </row>
    <row r="3" spans="1:22" x14ac:dyDescent="0.2">
      <c r="A3" t="s">
        <v>2</v>
      </c>
      <c r="B3">
        <v>3230.78</v>
      </c>
      <c r="C3">
        <v>71.091099999999997</v>
      </c>
      <c r="D3">
        <v>150.82900000000001</v>
      </c>
      <c r="E3">
        <v>66.727599999999995</v>
      </c>
      <c r="F3">
        <v>5.85806</v>
      </c>
      <c r="G3">
        <v>205.25</v>
      </c>
      <c r="H3">
        <v>134.96700000000001</v>
      </c>
      <c r="I3">
        <v>35.085900000000002</v>
      </c>
      <c r="J3">
        <v>270.07400000000001</v>
      </c>
      <c r="K3">
        <v>78.039500000000004</v>
      </c>
      <c r="L3">
        <v>77.053799999999995</v>
      </c>
      <c r="M3">
        <v>58.553600000000003</v>
      </c>
      <c r="N3">
        <v>104.598</v>
      </c>
      <c r="O3">
        <v>58.2669</v>
      </c>
      <c r="P3">
        <v>37.624899999999997</v>
      </c>
      <c r="Q3">
        <v>39.528399999999998</v>
      </c>
      <c r="R3">
        <v>92.391999999999996</v>
      </c>
      <c r="S3">
        <v>27.8887</v>
      </c>
      <c r="T3">
        <v>98.570700000000002</v>
      </c>
      <c r="U3">
        <v>203.85499999999999</v>
      </c>
      <c r="V3">
        <v>184.364</v>
      </c>
    </row>
    <row r="4" spans="1:22" x14ac:dyDescent="0.2">
      <c r="A4" t="s">
        <v>3</v>
      </c>
      <c r="B4">
        <v>3225.52</v>
      </c>
      <c r="C4">
        <v>74.937399999999997</v>
      </c>
      <c r="D4">
        <v>162.82300000000001</v>
      </c>
      <c r="E4">
        <v>71.380300000000005</v>
      </c>
      <c r="F4">
        <v>5.8860999999999999</v>
      </c>
      <c r="G4">
        <v>201.91</v>
      </c>
      <c r="H4">
        <v>137.74299999999999</v>
      </c>
      <c r="I4">
        <v>33.689399999999999</v>
      </c>
      <c r="J4">
        <v>250.29900000000001</v>
      </c>
      <c r="K4">
        <v>73.311599999999999</v>
      </c>
      <c r="L4">
        <v>71.460700000000003</v>
      </c>
      <c r="M4">
        <v>52.126399999999997</v>
      </c>
      <c r="N4">
        <v>93.003</v>
      </c>
      <c r="O4">
        <v>53.248600000000003</v>
      </c>
      <c r="P4">
        <v>31.362300000000001</v>
      </c>
      <c r="Q4">
        <v>38.100900000000003</v>
      </c>
      <c r="R4">
        <v>100.43600000000001</v>
      </c>
      <c r="S4">
        <v>43.37</v>
      </c>
      <c r="T4">
        <v>93.676100000000005</v>
      </c>
      <c r="U4">
        <v>212.922</v>
      </c>
      <c r="V4">
        <v>199.608</v>
      </c>
    </row>
    <row r="5" spans="1:22" x14ac:dyDescent="0.2">
      <c r="A5" t="s">
        <v>4</v>
      </c>
      <c r="B5">
        <v>2954.22</v>
      </c>
      <c r="C5">
        <v>66.337900000000005</v>
      </c>
      <c r="D5">
        <v>155.37799999999999</v>
      </c>
      <c r="E5">
        <v>66.720600000000005</v>
      </c>
      <c r="F5">
        <v>6.7278700000000002</v>
      </c>
      <c r="G5">
        <v>192.47</v>
      </c>
      <c r="H5">
        <v>125.22</v>
      </c>
      <c r="I5">
        <v>30.232700000000001</v>
      </c>
      <c r="J5">
        <v>234.21899999999999</v>
      </c>
      <c r="K5">
        <v>65.692800000000005</v>
      </c>
      <c r="L5">
        <v>75.599400000000003</v>
      </c>
      <c r="M5">
        <v>43.784199999999998</v>
      </c>
      <c r="N5">
        <v>81.964799999999997</v>
      </c>
      <c r="O5">
        <v>43.691099999999999</v>
      </c>
      <c r="P5">
        <v>25.728400000000001</v>
      </c>
      <c r="Q5">
        <v>31.4039</v>
      </c>
      <c r="R5">
        <v>94.1875</v>
      </c>
      <c r="S5">
        <v>44.533299999999997</v>
      </c>
      <c r="T5">
        <v>87.182900000000004</v>
      </c>
      <c r="U5">
        <v>203.35499999999999</v>
      </c>
      <c r="V5">
        <v>182.279</v>
      </c>
    </row>
    <row r="6" spans="1:22" x14ac:dyDescent="0.2">
      <c r="A6" t="s">
        <v>5</v>
      </c>
      <c r="B6">
        <v>2584.59</v>
      </c>
      <c r="C6">
        <v>61.709000000000003</v>
      </c>
      <c r="D6">
        <v>151.25800000000001</v>
      </c>
      <c r="E6">
        <v>57.887700000000002</v>
      </c>
      <c r="F6">
        <v>6.5663999999999998</v>
      </c>
      <c r="G6">
        <v>166.8</v>
      </c>
      <c r="H6">
        <v>122.111</v>
      </c>
      <c r="I6">
        <v>29.5261</v>
      </c>
      <c r="J6">
        <v>230.08099999999999</v>
      </c>
      <c r="K6">
        <v>66.563999999999993</v>
      </c>
      <c r="L6">
        <v>67.202200000000005</v>
      </c>
      <c r="M6">
        <v>32.317399999999999</v>
      </c>
      <c r="N6">
        <v>63.628900000000002</v>
      </c>
      <c r="O6">
        <v>27.792100000000001</v>
      </c>
      <c r="P6">
        <v>12.8127</v>
      </c>
      <c r="Q6">
        <v>11.4438</v>
      </c>
      <c r="R6">
        <v>97.486000000000004</v>
      </c>
      <c r="S6">
        <v>34.933300000000003</v>
      </c>
      <c r="T6">
        <v>80.705699999999993</v>
      </c>
      <c r="U6">
        <v>175.464</v>
      </c>
      <c r="V6">
        <v>155.22200000000001</v>
      </c>
    </row>
    <row r="7" spans="1:22" x14ac:dyDescent="0.2">
      <c r="A7" t="s">
        <v>6</v>
      </c>
      <c r="B7">
        <v>2912.43</v>
      </c>
      <c r="C7">
        <v>71.299000000000007</v>
      </c>
      <c r="D7">
        <v>171.87799999999999</v>
      </c>
      <c r="E7">
        <v>67.091800000000006</v>
      </c>
      <c r="F7">
        <v>7.2808400000000004</v>
      </c>
      <c r="G7">
        <v>204.71</v>
      </c>
      <c r="H7">
        <v>139.71299999999999</v>
      </c>
      <c r="I7">
        <v>34.702399999999997</v>
      </c>
      <c r="J7">
        <v>269.85300000000001</v>
      </c>
      <c r="K7">
        <v>68.639899999999997</v>
      </c>
      <c r="L7">
        <v>73.584000000000003</v>
      </c>
      <c r="M7">
        <v>39.552799999999998</v>
      </c>
      <c r="N7">
        <v>80.787599999999998</v>
      </c>
      <c r="O7">
        <v>37.988399999999999</v>
      </c>
      <c r="P7">
        <v>15.9747</v>
      </c>
      <c r="Q7">
        <v>16.404299999999999</v>
      </c>
      <c r="R7">
        <v>123.7</v>
      </c>
      <c r="S7">
        <v>52.1267</v>
      </c>
      <c r="T7">
        <v>85.037099999999995</v>
      </c>
      <c r="U7">
        <v>206.57300000000001</v>
      </c>
      <c r="V7">
        <v>176.072</v>
      </c>
    </row>
    <row r="8" spans="1:22" x14ac:dyDescent="0.2">
      <c r="A8" t="s">
        <v>7</v>
      </c>
      <c r="B8">
        <v>3044.31</v>
      </c>
      <c r="C8">
        <v>77.366900000000001</v>
      </c>
      <c r="D8">
        <v>176.24199999999999</v>
      </c>
      <c r="E8">
        <v>71.417100000000005</v>
      </c>
      <c r="F8">
        <v>8.8437900000000003</v>
      </c>
      <c r="G8">
        <v>225.09</v>
      </c>
      <c r="H8">
        <v>139.47900000000001</v>
      </c>
      <c r="I8">
        <v>34.892600000000002</v>
      </c>
      <c r="J8">
        <v>281.24799999999999</v>
      </c>
      <c r="K8">
        <v>69.8339</v>
      </c>
      <c r="L8">
        <v>82.956999999999994</v>
      </c>
      <c r="M8">
        <v>39.4527</v>
      </c>
      <c r="N8">
        <v>81.706400000000002</v>
      </c>
      <c r="O8">
        <v>38.440800000000003</v>
      </c>
      <c r="P8">
        <v>17.542300000000001</v>
      </c>
      <c r="Q8">
        <v>12.7987</v>
      </c>
      <c r="R8">
        <v>122.11799999999999</v>
      </c>
      <c r="S8">
        <v>55.666699999999999</v>
      </c>
      <c r="T8">
        <v>96.397099999999995</v>
      </c>
      <c r="U8">
        <v>233.501</v>
      </c>
      <c r="V8">
        <v>176.072</v>
      </c>
    </row>
    <row r="9" spans="1:22" x14ac:dyDescent="0.2">
      <c r="A9" t="s">
        <v>8</v>
      </c>
      <c r="B9">
        <v>3100.29</v>
      </c>
      <c r="C9">
        <v>88.767099999999999</v>
      </c>
      <c r="D9">
        <v>195.71899999999999</v>
      </c>
      <c r="E9">
        <v>70.646299999999997</v>
      </c>
      <c r="F9">
        <v>9.4681800000000003</v>
      </c>
      <c r="G9">
        <v>227.07</v>
      </c>
      <c r="H9">
        <v>131.86799999999999</v>
      </c>
      <c r="I9">
        <v>29.875499999999999</v>
      </c>
      <c r="J9">
        <v>273.31200000000001</v>
      </c>
      <c r="K9">
        <v>67.433800000000005</v>
      </c>
      <c r="L9">
        <v>87.889200000000002</v>
      </c>
      <c r="M9">
        <v>38.802</v>
      </c>
      <c r="N9">
        <v>79.504900000000006</v>
      </c>
      <c r="O9">
        <v>38.296700000000001</v>
      </c>
      <c r="P9">
        <v>17.584800000000001</v>
      </c>
      <c r="Q9">
        <v>18.0961</v>
      </c>
      <c r="R9">
        <v>137.941</v>
      </c>
      <c r="S9">
        <v>71.986699999999999</v>
      </c>
      <c r="T9">
        <v>95.878500000000003</v>
      </c>
      <c r="U9">
        <v>236.827</v>
      </c>
      <c r="V9">
        <v>174.33099999999999</v>
      </c>
    </row>
    <row r="10" spans="1:22" x14ac:dyDescent="0.2">
      <c r="A10" t="s">
        <v>9</v>
      </c>
      <c r="B10">
        <v>3271.12</v>
      </c>
      <c r="C10">
        <v>103.43600000000001</v>
      </c>
      <c r="D10">
        <v>197.173</v>
      </c>
      <c r="E10">
        <v>74.128699999999995</v>
      </c>
      <c r="F10">
        <v>10.581300000000001</v>
      </c>
      <c r="G10">
        <v>253.67</v>
      </c>
      <c r="H10">
        <v>136.67400000000001</v>
      </c>
      <c r="I10">
        <v>35.499699999999997</v>
      </c>
      <c r="J10">
        <v>280.57499999999999</v>
      </c>
      <c r="K10">
        <v>69.9709</v>
      </c>
      <c r="L10">
        <v>85.999300000000005</v>
      </c>
      <c r="M10">
        <v>36.511800000000001</v>
      </c>
      <c r="N10">
        <v>74.790999999999997</v>
      </c>
      <c r="O10">
        <v>34.423400000000001</v>
      </c>
      <c r="P10">
        <v>17.346599999999999</v>
      </c>
      <c r="Q10">
        <v>15.5663</v>
      </c>
      <c r="R10">
        <v>158.23400000000001</v>
      </c>
      <c r="S10">
        <v>95.383300000000006</v>
      </c>
      <c r="T10">
        <v>95.448099999999997</v>
      </c>
      <c r="U10">
        <v>250.989</v>
      </c>
      <c r="V10">
        <v>183.60599999999999</v>
      </c>
    </row>
    <row r="11" spans="1:22" x14ac:dyDescent="0.2">
      <c r="A11" t="s">
        <v>10</v>
      </c>
      <c r="B11">
        <v>3500.31</v>
      </c>
      <c r="C11">
        <v>125.82899999999999</v>
      </c>
      <c r="D11">
        <v>217.42099999999999</v>
      </c>
      <c r="E11">
        <v>81.182299999999998</v>
      </c>
      <c r="F11">
        <v>13.3331</v>
      </c>
      <c r="G11">
        <v>293.2</v>
      </c>
      <c r="H11">
        <v>144.803</v>
      </c>
      <c r="I11">
        <v>34.863399999999999</v>
      </c>
      <c r="J11">
        <v>289.608</v>
      </c>
      <c r="K11">
        <v>74.355500000000006</v>
      </c>
      <c r="L11">
        <v>86.778000000000006</v>
      </c>
      <c r="M11">
        <v>35.337000000000003</v>
      </c>
      <c r="N11">
        <v>75.861000000000004</v>
      </c>
      <c r="O11">
        <v>34.884500000000003</v>
      </c>
      <c r="P11">
        <v>18.177900000000001</v>
      </c>
      <c r="Q11">
        <v>12.598800000000001</v>
      </c>
      <c r="R11">
        <v>172.548</v>
      </c>
      <c r="S11">
        <v>166.107</v>
      </c>
      <c r="T11">
        <v>109.664</v>
      </c>
      <c r="U11">
        <v>269.44799999999998</v>
      </c>
      <c r="V11">
        <v>202.96299999999999</v>
      </c>
    </row>
    <row r="12" spans="1:22" x14ac:dyDescent="0.2">
      <c r="A12" t="s">
        <v>11</v>
      </c>
      <c r="B12">
        <v>3363</v>
      </c>
      <c r="C12">
        <v>112.91800000000001</v>
      </c>
      <c r="D12">
        <v>202.78100000000001</v>
      </c>
      <c r="E12">
        <v>73.015299999999996</v>
      </c>
      <c r="F12">
        <v>13.492800000000001</v>
      </c>
      <c r="G12">
        <v>261.89999999999998</v>
      </c>
      <c r="H12">
        <v>140.52799999999999</v>
      </c>
      <c r="I12">
        <v>33.858199999999997</v>
      </c>
      <c r="J12">
        <v>290.084</v>
      </c>
      <c r="K12">
        <v>72.860799999999998</v>
      </c>
      <c r="L12">
        <v>79.365499999999997</v>
      </c>
      <c r="M12">
        <v>30.375299999999999</v>
      </c>
      <c r="N12">
        <v>65.077299999999994</v>
      </c>
      <c r="O12">
        <v>30.235199999999999</v>
      </c>
      <c r="P12">
        <v>14.978400000000001</v>
      </c>
      <c r="Q12">
        <v>9.9089500000000008</v>
      </c>
      <c r="R12">
        <v>157.43600000000001</v>
      </c>
      <c r="S12">
        <v>143.00299999999999</v>
      </c>
      <c r="T12">
        <v>123.04</v>
      </c>
      <c r="U12">
        <v>263.91300000000001</v>
      </c>
      <c r="V12">
        <v>208.63800000000001</v>
      </c>
    </row>
    <row r="13" spans="1:22" x14ac:dyDescent="0.2">
      <c r="A13" t="s">
        <v>12</v>
      </c>
      <c r="B13">
        <v>3269.96</v>
      </c>
      <c r="C13">
        <v>106.149</v>
      </c>
      <c r="D13">
        <v>195.21100000000001</v>
      </c>
      <c r="E13">
        <v>80.513599999999997</v>
      </c>
      <c r="F13">
        <v>12.4984</v>
      </c>
      <c r="G13">
        <v>263.11</v>
      </c>
      <c r="H13">
        <v>129.417</v>
      </c>
      <c r="I13">
        <v>32.732999999999997</v>
      </c>
      <c r="J13">
        <v>283.91000000000003</v>
      </c>
      <c r="K13">
        <v>66.062299999999993</v>
      </c>
      <c r="L13">
        <v>78.161199999999994</v>
      </c>
      <c r="M13">
        <v>28.862100000000002</v>
      </c>
      <c r="N13">
        <v>62.817399999999999</v>
      </c>
      <c r="O13">
        <v>26.673100000000002</v>
      </c>
      <c r="P13">
        <v>14.381399999999999</v>
      </c>
      <c r="Q13">
        <v>9.03674</v>
      </c>
      <c r="R13">
        <v>151.80799999999999</v>
      </c>
      <c r="S13">
        <v>129.34700000000001</v>
      </c>
      <c r="T13">
        <v>117.687</v>
      </c>
      <c r="U13">
        <v>253.452</v>
      </c>
      <c r="V13">
        <v>202.46100000000001</v>
      </c>
    </row>
    <row r="14" spans="1:22" x14ac:dyDescent="0.2">
      <c r="A14" t="s">
        <v>13</v>
      </c>
      <c r="B14">
        <v>3621.63</v>
      </c>
      <c r="C14">
        <v>116.29</v>
      </c>
      <c r="D14">
        <v>206.92099999999999</v>
      </c>
      <c r="E14">
        <v>87.403099999999995</v>
      </c>
      <c r="F14">
        <v>13.364100000000001</v>
      </c>
      <c r="G14">
        <v>276.97000000000003</v>
      </c>
      <c r="H14">
        <v>137.517</v>
      </c>
      <c r="I14">
        <v>35.707599999999999</v>
      </c>
      <c r="J14">
        <v>312.93200000000002</v>
      </c>
      <c r="K14">
        <v>70.610699999999994</v>
      </c>
      <c r="L14">
        <v>96.048100000000005</v>
      </c>
      <c r="M14">
        <v>34.5503</v>
      </c>
      <c r="N14">
        <v>79.957499999999996</v>
      </c>
      <c r="O14">
        <v>36.868499999999997</v>
      </c>
      <c r="P14">
        <v>20.0124</v>
      </c>
      <c r="Q14">
        <v>15.601000000000001</v>
      </c>
      <c r="R14">
        <v>158.40199999999999</v>
      </c>
      <c r="S14">
        <v>189.2</v>
      </c>
      <c r="T14">
        <v>132.01599999999999</v>
      </c>
      <c r="U14">
        <v>263.62799999999999</v>
      </c>
      <c r="V14">
        <v>207.91</v>
      </c>
    </row>
    <row r="15" spans="1:22" x14ac:dyDescent="0.2">
      <c r="A15" t="s">
        <v>14</v>
      </c>
      <c r="B15">
        <v>3756.07</v>
      </c>
      <c r="C15">
        <v>129.613</v>
      </c>
      <c r="D15">
        <v>215</v>
      </c>
      <c r="E15">
        <v>87.315399999999997</v>
      </c>
      <c r="F15">
        <v>13.021599999999999</v>
      </c>
      <c r="G15">
        <v>273.16000000000003</v>
      </c>
      <c r="H15">
        <v>149.57</v>
      </c>
      <c r="I15">
        <v>34.31</v>
      </c>
      <c r="J15">
        <v>327.45299999999997</v>
      </c>
      <c r="K15">
        <v>72.417400000000001</v>
      </c>
      <c r="L15">
        <v>98.418599999999998</v>
      </c>
      <c r="M15">
        <v>37.350099999999998</v>
      </c>
      <c r="N15">
        <v>77.454700000000003</v>
      </c>
      <c r="O15">
        <v>37.270499999999998</v>
      </c>
      <c r="P15">
        <v>21.139199999999999</v>
      </c>
      <c r="Q15">
        <v>17.1419</v>
      </c>
      <c r="R15">
        <v>162.846</v>
      </c>
      <c r="S15">
        <v>235.22300000000001</v>
      </c>
      <c r="T15">
        <v>138.928</v>
      </c>
      <c r="U15">
        <v>253.79599999999999</v>
      </c>
      <c r="V15">
        <v>205.185</v>
      </c>
    </row>
    <row r="16" spans="1:22" x14ac:dyDescent="0.2">
      <c r="A16" t="s">
        <v>15</v>
      </c>
      <c r="B16">
        <v>3714.24</v>
      </c>
      <c r="C16">
        <v>128.89400000000001</v>
      </c>
      <c r="D16">
        <v>224.23</v>
      </c>
      <c r="E16">
        <v>91.0381</v>
      </c>
      <c r="F16">
        <v>12.9567</v>
      </c>
      <c r="G16">
        <v>258.33</v>
      </c>
      <c r="H16">
        <v>155.05000000000001</v>
      </c>
      <c r="I16">
        <v>33.825000000000003</v>
      </c>
      <c r="J16">
        <v>311.5</v>
      </c>
      <c r="K16">
        <v>68.228999999999999</v>
      </c>
      <c r="L16">
        <v>95.221400000000003</v>
      </c>
      <c r="M16">
        <v>40.630299999999998</v>
      </c>
      <c r="N16">
        <v>78.141300000000001</v>
      </c>
      <c r="O16">
        <v>37.308100000000003</v>
      </c>
      <c r="P16">
        <v>21.508800000000001</v>
      </c>
      <c r="Q16">
        <v>19.864699999999999</v>
      </c>
      <c r="R16">
        <v>160.31</v>
      </c>
      <c r="S16">
        <v>264.51</v>
      </c>
      <c r="T16">
        <v>131.18199999999999</v>
      </c>
      <c r="U16">
        <v>258.77</v>
      </c>
      <c r="V16">
        <v>198.74299999999999</v>
      </c>
    </row>
    <row r="17" spans="1:22" x14ac:dyDescent="0.2">
      <c r="A17" t="s">
        <v>16</v>
      </c>
      <c r="B17">
        <v>3811.15</v>
      </c>
      <c r="C17">
        <v>118.616</v>
      </c>
      <c r="D17">
        <v>225.136</v>
      </c>
      <c r="E17">
        <v>100.73099999999999</v>
      </c>
      <c r="F17">
        <v>13.6807</v>
      </c>
      <c r="G17">
        <v>257.62</v>
      </c>
      <c r="H17">
        <v>151.55000000000001</v>
      </c>
      <c r="I17">
        <v>31.554200000000002</v>
      </c>
      <c r="J17">
        <v>310.21699999999998</v>
      </c>
      <c r="K17">
        <v>64.289599999999993</v>
      </c>
      <c r="L17">
        <v>100.11499999999999</v>
      </c>
      <c r="M17">
        <v>50.102600000000002</v>
      </c>
      <c r="N17">
        <v>93.012699999999995</v>
      </c>
      <c r="O17">
        <v>48.9163</v>
      </c>
      <c r="P17">
        <v>27.154699999999998</v>
      </c>
      <c r="Q17">
        <v>26.352</v>
      </c>
      <c r="R17">
        <v>154.64599999999999</v>
      </c>
      <c r="S17">
        <v>225.167</v>
      </c>
      <c r="T17">
        <v>132.62</v>
      </c>
      <c r="U17">
        <v>246.83799999999999</v>
      </c>
      <c r="V17">
        <v>198.33</v>
      </c>
    </row>
    <row r="18" spans="1:22" x14ac:dyDescent="0.2">
      <c r="A18" t="s">
        <v>17</v>
      </c>
      <c r="B18">
        <v>3972.89</v>
      </c>
      <c r="C18">
        <v>119.491</v>
      </c>
      <c r="D18">
        <v>228.43</v>
      </c>
      <c r="E18">
        <v>102.753</v>
      </c>
      <c r="F18">
        <v>13.319100000000001</v>
      </c>
      <c r="G18">
        <v>294.52999999999997</v>
      </c>
      <c r="H18">
        <v>157.179</v>
      </c>
      <c r="I18">
        <v>34.136400000000002</v>
      </c>
      <c r="J18">
        <v>348.661</v>
      </c>
      <c r="K18">
        <v>68.846400000000003</v>
      </c>
      <c r="L18">
        <v>100.557</v>
      </c>
      <c r="M18">
        <v>51.448500000000003</v>
      </c>
      <c r="N18">
        <v>97.458399999999997</v>
      </c>
      <c r="O18">
        <v>49.820900000000002</v>
      </c>
      <c r="P18">
        <v>26.454799999999999</v>
      </c>
      <c r="Q18">
        <v>26.370799999999999</v>
      </c>
      <c r="R18">
        <v>154.70400000000001</v>
      </c>
      <c r="S18">
        <v>222.643</v>
      </c>
      <c r="T18">
        <v>130.756</v>
      </c>
      <c r="U18">
        <v>293.5</v>
      </c>
      <c r="V18">
        <v>215.64099999999999</v>
      </c>
    </row>
    <row r="19" spans="1:22" x14ac:dyDescent="0.2">
      <c r="A19" t="s">
        <v>18</v>
      </c>
      <c r="B19">
        <v>4181.17</v>
      </c>
      <c r="C19">
        <v>128.59899999999999</v>
      </c>
      <c r="D19">
        <v>244.322</v>
      </c>
      <c r="E19">
        <v>117.25</v>
      </c>
      <c r="F19">
        <v>14.976699999999999</v>
      </c>
      <c r="G19">
        <v>325.08</v>
      </c>
      <c r="H19">
        <v>155.62100000000001</v>
      </c>
      <c r="I19">
        <v>36.4161</v>
      </c>
      <c r="J19">
        <v>373.71699999999998</v>
      </c>
      <c r="K19">
        <v>66.534400000000005</v>
      </c>
      <c r="L19">
        <v>104.86199999999999</v>
      </c>
      <c r="M19">
        <v>52.747799999999998</v>
      </c>
      <c r="N19">
        <v>95.868600000000001</v>
      </c>
      <c r="O19">
        <v>48.097799999999999</v>
      </c>
      <c r="P19">
        <v>26.3184</v>
      </c>
      <c r="Q19">
        <v>25.123200000000001</v>
      </c>
      <c r="R19">
        <v>173.37100000000001</v>
      </c>
      <c r="S19">
        <v>236.48</v>
      </c>
      <c r="T19">
        <v>130.488</v>
      </c>
      <c r="U19">
        <v>311.20400000000001</v>
      </c>
      <c r="V19">
        <v>227.12799999999999</v>
      </c>
    </row>
    <row r="20" spans="1:22" x14ac:dyDescent="0.2">
      <c r="A20" t="s">
        <v>19</v>
      </c>
      <c r="B20">
        <v>4204.1099999999997</v>
      </c>
      <c r="C20">
        <v>122.104</v>
      </c>
      <c r="D20">
        <v>242.45500000000001</v>
      </c>
      <c r="E20">
        <v>117.416</v>
      </c>
      <c r="F20">
        <v>16.207899999999999</v>
      </c>
      <c r="G20">
        <v>328.73</v>
      </c>
      <c r="H20">
        <v>162.87799999999999</v>
      </c>
      <c r="I20">
        <v>36.851399999999998</v>
      </c>
      <c r="J20">
        <v>386.01499999999999</v>
      </c>
      <c r="K20">
        <v>67.775400000000005</v>
      </c>
      <c r="L20">
        <v>106.461</v>
      </c>
      <c r="M20">
        <v>54.572200000000002</v>
      </c>
      <c r="N20">
        <v>97.721800000000002</v>
      </c>
      <c r="O20">
        <v>52.834000000000003</v>
      </c>
      <c r="P20">
        <v>30.482600000000001</v>
      </c>
      <c r="Q20">
        <v>25.717700000000001</v>
      </c>
      <c r="R20">
        <v>161.154</v>
      </c>
      <c r="S20">
        <v>208.40700000000001</v>
      </c>
      <c r="T20">
        <v>134.554</v>
      </c>
      <c r="U20">
        <v>306.63099999999997</v>
      </c>
      <c r="V20">
        <v>226.26300000000001</v>
      </c>
    </row>
    <row r="21" spans="1:22" x14ac:dyDescent="0.2">
      <c r="A21" t="s">
        <v>20</v>
      </c>
      <c r="B21">
        <v>4297.5</v>
      </c>
      <c r="C21">
        <v>134.214</v>
      </c>
      <c r="D21">
        <v>263.06400000000002</v>
      </c>
      <c r="E21">
        <v>121.649</v>
      </c>
      <c r="F21">
        <v>19.9633</v>
      </c>
      <c r="G21">
        <v>347.71</v>
      </c>
      <c r="H21">
        <v>158.53299999999999</v>
      </c>
      <c r="I21">
        <v>37.261200000000002</v>
      </c>
      <c r="J21">
        <v>376.63</v>
      </c>
      <c r="K21">
        <v>70.051500000000004</v>
      </c>
      <c r="L21">
        <v>105.941</v>
      </c>
      <c r="M21">
        <v>58.975700000000003</v>
      </c>
      <c r="N21">
        <v>98.619100000000003</v>
      </c>
      <c r="O21">
        <v>57.7239</v>
      </c>
      <c r="P21">
        <v>31.269400000000001</v>
      </c>
      <c r="Q21">
        <v>30.988299999999999</v>
      </c>
      <c r="R21">
        <v>172.00800000000001</v>
      </c>
      <c r="S21">
        <v>226.56700000000001</v>
      </c>
      <c r="T21">
        <v>152.32300000000001</v>
      </c>
      <c r="U21">
        <v>308.21100000000001</v>
      </c>
      <c r="V21">
        <v>223.459</v>
      </c>
    </row>
    <row r="22" spans="1:22" x14ac:dyDescent="0.2">
      <c r="A22" t="s">
        <v>21</v>
      </c>
      <c r="B22">
        <v>4395.26</v>
      </c>
      <c r="C22">
        <v>142.929</v>
      </c>
      <c r="D22">
        <v>276.66800000000001</v>
      </c>
      <c r="E22">
        <v>134.24100000000001</v>
      </c>
      <c r="F22">
        <v>19.462</v>
      </c>
      <c r="G22">
        <v>356.3</v>
      </c>
      <c r="H22">
        <v>165.72</v>
      </c>
      <c r="I22">
        <v>41.1023</v>
      </c>
      <c r="J22">
        <v>387.70299999999997</v>
      </c>
      <c r="K22">
        <v>69.240600000000001</v>
      </c>
      <c r="L22">
        <v>110.6</v>
      </c>
      <c r="M22">
        <v>53.824300000000001</v>
      </c>
      <c r="N22">
        <v>95.858900000000006</v>
      </c>
      <c r="O22">
        <v>53.542400000000001</v>
      </c>
      <c r="P22">
        <v>28.162800000000001</v>
      </c>
      <c r="Q22">
        <v>25.8658</v>
      </c>
      <c r="R22">
        <v>166.38</v>
      </c>
      <c r="S22">
        <v>229.06700000000001</v>
      </c>
      <c r="T22">
        <v>165.155</v>
      </c>
      <c r="U22">
        <v>317.20999999999998</v>
      </c>
      <c r="V22">
        <v>234.8</v>
      </c>
    </row>
    <row r="23" spans="1:22" x14ac:dyDescent="0.2">
      <c r="A23" t="s">
        <v>22</v>
      </c>
      <c r="B23">
        <v>4522.68</v>
      </c>
      <c r="C23">
        <v>149.00700000000001</v>
      </c>
      <c r="D23">
        <v>293.714</v>
      </c>
      <c r="E23">
        <v>144.17500000000001</v>
      </c>
      <c r="F23">
        <v>22.344899999999999</v>
      </c>
      <c r="G23">
        <v>379.38</v>
      </c>
      <c r="H23">
        <v>167.59399999999999</v>
      </c>
      <c r="I23">
        <v>44.232100000000003</v>
      </c>
      <c r="J23">
        <v>391.51299999999998</v>
      </c>
      <c r="K23">
        <v>68.717699999999994</v>
      </c>
      <c r="L23">
        <v>114.846</v>
      </c>
      <c r="M23">
        <v>51.744100000000003</v>
      </c>
      <c r="N23">
        <v>92.337699999999998</v>
      </c>
      <c r="O23">
        <v>53.036000000000001</v>
      </c>
      <c r="P23">
        <v>27.512499999999999</v>
      </c>
      <c r="Q23">
        <v>25.459299999999999</v>
      </c>
      <c r="R23">
        <v>173.54</v>
      </c>
      <c r="S23">
        <v>245.24</v>
      </c>
      <c r="T23">
        <v>162.697</v>
      </c>
      <c r="U23">
        <v>315.25799999999998</v>
      </c>
      <c r="V23">
        <v>230.97399999999999</v>
      </c>
    </row>
    <row r="24" spans="1:22" x14ac:dyDescent="0.2">
      <c r="A24" t="s">
        <v>23</v>
      </c>
      <c r="B24">
        <v>4307.54</v>
      </c>
      <c r="C24">
        <v>138.857</v>
      </c>
      <c r="D24">
        <v>274.29599999999999</v>
      </c>
      <c r="E24">
        <v>133.19300000000001</v>
      </c>
      <c r="F24">
        <v>20.678100000000001</v>
      </c>
      <c r="G24">
        <v>339.39</v>
      </c>
      <c r="H24">
        <v>156.346</v>
      </c>
      <c r="I24">
        <v>41.294600000000003</v>
      </c>
      <c r="J24">
        <v>368.79500000000002</v>
      </c>
      <c r="K24">
        <v>68.261399999999995</v>
      </c>
      <c r="L24">
        <v>102.587</v>
      </c>
      <c r="M24">
        <v>55.825800000000001</v>
      </c>
      <c r="N24">
        <v>96.802999999999997</v>
      </c>
      <c r="O24">
        <v>64.7273</v>
      </c>
      <c r="P24">
        <v>29.082000000000001</v>
      </c>
      <c r="Q24">
        <v>29.325199999999999</v>
      </c>
      <c r="R24">
        <v>164.25200000000001</v>
      </c>
      <c r="S24">
        <v>258.49299999999999</v>
      </c>
      <c r="T24">
        <v>143.43</v>
      </c>
      <c r="U24">
        <v>318.88900000000001</v>
      </c>
      <c r="V24">
        <v>234.524</v>
      </c>
    </row>
    <row r="25" spans="1:22" x14ac:dyDescent="0.2">
      <c r="A25" t="s">
        <v>24</v>
      </c>
      <c r="B25">
        <v>4605.38</v>
      </c>
      <c r="C25">
        <v>147.006</v>
      </c>
      <c r="D25">
        <v>322.64400000000001</v>
      </c>
      <c r="E25">
        <v>147.511</v>
      </c>
      <c r="F25">
        <v>25.521999999999998</v>
      </c>
      <c r="G25">
        <v>323.57</v>
      </c>
      <c r="H25">
        <v>157.679</v>
      </c>
      <c r="I25">
        <v>41.9953</v>
      </c>
      <c r="J25">
        <v>434.61099999999999</v>
      </c>
      <c r="K25">
        <v>80.022000000000006</v>
      </c>
      <c r="L25">
        <v>110.364</v>
      </c>
      <c r="M25">
        <v>61.188099999999999</v>
      </c>
      <c r="N25">
        <v>109.241</v>
      </c>
      <c r="O25">
        <v>71.5732</v>
      </c>
      <c r="P25">
        <v>31.652899999999999</v>
      </c>
      <c r="Q25">
        <v>33.2408</v>
      </c>
      <c r="R25">
        <v>168.62200000000001</v>
      </c>
      <c r="S25">
        <v>371.33300000000003</v>
      </c>
      <c r="T25">
        <v>165.215</v>
      </c>
      <c r="U25">
        <v>361.125</v>
      </c>
      <c r="V25">
        <v>238.852</v>
      </c>
    </row>
    <row r="26" spans="1:22" x14ac:dyDescent="0.2">
      <c r="A26" t="s">
        <v>25</v>
      </c>
      <c r="B26">
        <v>4567</v>
      </c>
      <c r="C26">
        <v>162.459</v>
      </c>
      <c r="D26">
        <v>322.23500000000001</v>
      </c>
      <c r="E26">
        <v>141.38399999999999</v>
      </c>
      <c r="F26">
        <v>32.6173</v>
      </c>
      <c r="G26">
        <v>324.45999999999998</v>
      </c>
      <c r="H26">
        <v>151.94300000000001</v>
      </c>
      <c r="I26">
        <v>52.040399999999998</v>
      </c>
      <c r="J26">
        <v>419.274</v>
      </c>
      <c r="K26">
        <v>68.080100000000002</v>
      </c>
      <c r="L26">
        <v>110.96299999999999</v>
      </c>
      <c r="M26">
        <v>57.556899999999999</v>
      </c>
      <c r="N26">
        <v>108.94799999999999</v>
      </c>
      <c r="O26">
        <v>67.383799999999994</v>
      </c>
      <c r="P26">
        <v>28.259699999999999</v>
      </c>
      <c r="Q26">
        <v>29.393799999999999</v>
      </c>
      <c r="R26">
        <v>175.35400000000001</v>
      </c>
      <c r="S26">
        <v>381.58699999999999</v>
      </c>
      <c r="T26">
        <v>167.148</v>
      </c>
      <c r="U26">
        <v>389.17200000000003</v>
      </c>
      <c r="V26">
        <v>239.245</v>
      </c>
    </row>
    <row r="27" spans="1:22" x14ac:dyDescent="0.2">
      <c r="A27" t="s">
        <v>26</v>
      </c>
      <c r="B27">
        <v>4766.18</v>
      </c>
      <c r="C27">
        <v>174.51400000000001</v>
      </c>
      <c r="D27">
        <v>327.822</v>
      </c>
      <c r="E27">
        <v>144.32900000000001</v>
      </c>
      <c r="F27">
        <v>29.362300000000001</v>
      </c>
      <c r="G27">
        <v>336.35</v>
      </c>
      <c r="H27">
        <v>166.69200000000001</v>
      </c>
      <c r="I27">
        <v>57.1922</v>
      </c>
      <c r="J27">
        <v>475.48700000000002</v>
      </c>
      <c r="K27">
        <v>70.312600000000003</v>
      </c>
      <c r="L27">
        <v>130.32300000000001</v>
      </c>
      <c r="M27">
        <v>58.8551</v>
      </c>
      <c r="N27">
        <v>113.26900000000001</v>
      </c>
      <c r="O27">
        <v>69.545599999999993</v>
      </c>
      <c r="P27">
        <v>29.510999999999999</v>
      </c>
      <c r="Q27">
        <v>28.749600000000001</v>
      </c>
      <c r="R27">
        <v>166.71700000000001</v>
      </c>
      <c r="S27">
        <v>352.26</v>
      </c>
      <c r="T27">
        <v>164.898</v>
      </c>
      <c r="U27">
        <v>404.82499999999999</v>
      </c>
      <c r="V27">
        <v>262.20100000000002</v>
      </c>
    </row>
    <row r="28" spans="1:22" x14ac:dyDescent="0.2">
      <c r="A28" t="s">
        <v>27</v>
      </c>
      <c r="B28">
        <v>4515.55</v>
      </c>
      <c r="C28">
        <v>171.77199999999999</v>
      </c>
      <c r="D28">
        <v>303.12</v>
      </c>
      <c r="E28">
        <v>134.815</v>
      </c>
      <c r="F28">
        <v>24.445499999999999</v>
      </c>
      <c r="G28">
        <v>313.26</v>
      </c>
      <c r="H28">
        <v>167.87799999999999</v>
      </c>
      <c r="I28">
        <v>51.420699999999997</v>
      </c>
      <c r="J28">
        <v>447.48899999999998</v>
      </c>
      <c r="K28">
        <v>74.753699999999995</v>
      </c>
      <c r="L28">
        <v>133.12700000000001</v>
      </c>
      <c r="M28">
        <v>73.061499999999995</v>
      </c>
      <c r="N28">
        <v>126.768</v>
      </c>
      <c r="O28">
        <v>85.385599999999997</v>
      </c>
      <c r="P28">
        <v>38.497599999999998</v>
      </c>
      <c r="Q28">
        <v>37.357300000000002</v>
      </c>
      <c r="R28">
        <v>149.57400000000001</v>
      </c>
      <c r="S28">
        <v>312.24</v>
      </c>
      <c r="T28">
        <v>146.49299999999999</v>
      </c>
      <c r="U28">
        <v>357.97500000000002</v>
      </c>
      <c r="V28">
        <v>253.762</v>
      </c>
    </row>
    <row r="29" spans="1:22" x14ac:dyDescent="0.2">
      <c r="A29" t="s">
        <v>28</v>
      </c>
      <c r="B29">
        <v>4373.9399999999996</v>
      </c>
      <c r="C29">
        <v>162.489</v>
      </c>
      <c r="D29">
        <v>291.83999999999997</v>
      </c>
      <c r="E29">
        <v>134.56899999999999</v>
      </c>
      <c r="F29">
        <v>24.344799999999999</v>
      </c>
      <c r="G29">
        <v>211.03</v>
      </c>
      <c r="H29">
        <v>161.386</v>
      </c>
      <c r="I29">
        <v>45.809199999999997</v>
      </c>
      <c r="J29">
        <v>450.61399999999998</v>
      </c>
      <c r="K29">
        <v>70.257999999999996</v>
      </c>
      <c r="L29">
        <v>143.69999999999999</v>
      </c>
      <c r="M29">
        <v>76.263999999999996</v>
      </c>
      <c r="N29">
        <v>140.453</v>
      </c>
      <c r="O29">
        <v>91.397400000000005</v>
      </c>
      <c r="P29">
        <v>38.785299999999999</v>
      </c>
      <c r="Q29">
        <v>43.3675</v>
      </c>
      <c r="R29">
        <v>153.56299999999999</v>
      </c>
      <c r="S29">
        <v>290.14299999999997</v>
      </c>
      <c r="T29">
        <v>135.09899999999999</v>
      </c>
      <c r="U29">
        <v>308.084</v>
      </c>
      <c r="V29">
        <v>240.74</v>
      </c>
    </row>
    <row r="30" spans="1:22" x14ac:dyDescent="0.2">
      <c r="A30" t="s">
        <v>29</v>
      </c>
      <c r="B30">
        <v>4530.41</v>
      </c>
      <c r="C30">
        <v>171.822</v>
      </c>
      <c r="D30">
        <v>301.13600000000002</v>
      </c>
      <c r="E30">
        <v>138.566</v>
      </c>
      <c r="F30">
        <v>27.2454</v>
      </c>
      <c r="G30">
        <v>222.36</v>
      </c>
      <c r="H30">
        <v>173.80099999999999</v>
      </c>
      <c r="I30">
        <v>50.522799999999997</v>
      </c>
      <c r="J30">
        <v>484.33</v>
      </c>
      <c r="K30">
        <v>75.945899999999995</v>
      </c>
      <c r="L30">
        <v>157.64599999999999</v>
      </c>
      <c r="M30">
        <v>80.319299999999998</v>
      </c>
      <c r="N30">
        <v>158.81800000000001</v>
      </c>
      <c r="O30">
        <v>96.638099999999994</v>
      </c>
      <c r="P30">
        <v>40.831299999999999</v>
      </c>
      <c r="Q30">
        <v>56.4039</v>
      </c>
      <c r="R30">
        <v>162.99799999999999</v>
      </c>
      <c r="S30">
        <v>359.2</v>
      </c>
      <c r="T30">
        <v>133.43299999999999</v>
      </c>
      <c r="U30">
        <v>293.74599999999998</v>
      </c>
      <c r="V30">
        <v>243.208</v>
      </c>
    </row>
    <row r="31" spans="1:22" x14ac:dyDescent="0.2">
      <c r="A31" t="s">
        <v>30</v>
      </c>
      <c r="B31">
        <v>4131.93</v>
      </c>
      <c r="C31">
        <v>155.13800000000001</v>
      </c>
      <c r="D31">
        <v>271.065</v>
      </c>
      <c r="E31">
        <v>113.69799999999999</v>
      </c>
      <c r="F31">
        <v>18.519500000000001</v>
      </c>
      <c r="G31">
        <v>200.47</v>
      </c>
      <c r="H31">
        <v>176.96899999999999</v>
      </c>
      <c r="I31">
        <v>47.887900000000002</v>
      </c>
      <c r="J31">
        <v>482.97899999999998</v>
      </c>
      <c r="K31">
        <v>82.091700000000003</v>
      </c>
      <c r="L31">
        <v>144.053</v>
      </c>
      <c r="M31">
        <v>82.906199999999998</v>
      </c>
      <c r="N31">
        <v>152.81100000000001</v>
      </c>
      <c r="O31">
        <v>92.308800000000005</v>
      </c>
      <c r="P31">
        <v>38.557899999999997</v>
      </c>
      <c r="Q31">
        <v>54.7637</v>
      </c>
      <c r="R31">
        <v>124.282</v>
      </c>
      <c r="S31">
        <v>290.25299999999999</v>
      </c>
      <c r="T31">
        <v>123.65600000000001</v>
      </c>
      <c r="U31">
        <v>294.79700000000003</v>
      </c>
      <c r="V31">
        <v>245.05799999999999</v>
      </c>
    </row>
    <row r="32" spans="1:22" x14ac:dyDescent="0.2">
      <c r="A32" t="s">
        <v>31</v>
      </c>
      <c r="B32">
        <v>4132.1499999999996</v>
      </c>
      <c r="C32">
        <v>146.68199999999999</v>
      </c>
      <c r="D32">
        <v>266.16300000000001</v>
      </c>
      <c r="E32">
        <v>113.351</v>
      </c>
      <c r="F32">
        <v>18.644300000000001</v>
      </c>
      <c r="G32">
        <v>193.64</v>
      </c>
      <c r="H32">
        <v>177.18799999999999</v>
      </c>
      <c r="I32">
        <v>52.1843</v>
      </c>
      <c r="J32">
        <v>471.80399999999997</v>
      </c>
      <c r="K32">
        <v>85.183300000000003</v>
      </c>
      <c r="L32">
        <v>144.53299999999999</v>
      </c>
      <c r="M32">
        <v>94.316900000000004</v>
      </c>
      <c r="N32">
        <v>171.75800000000001</v>
      </c>
      <c r="O32">
        <v>109.07</v>
      </c>
      <c r="P32">
        <v>45.5929</v>
      </c>
      <c r="Q32">
        <v>68.8994</v>
      </c>
      <c r="R32">
        <v>120.21</v>
      </c>
      <c r="S32">
        <v>252.75299999999999</v>
      </c>
      <c r="T32">
        <v>117.854</v>
      </c>
      <c r="U32">
        <v>297.10300000000001</v>
      </c>
      <c r="V32">
        <v>248.05799999999999</v>
      </c>
    </row>
    <row r="33" spans="1:22" x14ac:dyDescent="0.2">
      <c r="A33" t="s">
        <v>32</v>
      </c>
      <c r="B33">
        <v>3785.38</v>
      </c>
      <c r="C33">
        <v>134.738</v>
      </c>
      <c r="D33">
        <v>251.44</v>
      </c>
      <c r="E33">
        <v>108.57</v>
      </c>
      <c r="F33">
        <v>15.139699999999999</v>
      </c>
      <c r="G33">
        <v>161.25</v>
      </c>
      <c r="H33">
        <v>175.19399999999999</v>
      </c>
      <c r="I33">
        <v>51.584200000000003</v>
      </c>
      <c r="J33">
        <v>489.54399999999998</v>
      </c>
      <c r="K33">
        <v>85.0779</v>
      </c>
      <c r="L33">
        <v>150.21299999999999</v>
      </c>
      <c r="M33">
        <v>84.138599999999997</v>
      </c>
      <c r="N33">
        <v>142.375</v>
      </c>
      <c r="O33">
        <v>87.856800000000007</v>
      </c>
      <c r="P33">
        <v>35.474400000000003</v>
      </c>
      <c r="Q33">
        <v>58.641599999999997</v>
      </c>
      <c r="R33">
        <v>106.21</v>
      </c>
      <c r="S33">
        <v>224.47300000000001</v>
      </c>
      <c r="T33">
        <v>101.595</v>
      </c>
      <c r="U33">
        <v>270.85300000000001</v>
      </c>
      <c r="V33">
        <v>244.161</v>
      </c>
    </row>
    <row r="34" spans="1:22" x14ac:dyDescent="0.2">
      <c r="A34" t="s">
        <v>33</v>
      </c>
      <c r="B34">
        <v>4130.29</v>
      </c>
      <c r="C34">
        <v>160.155</v>
      </c>
      <c r="D34">
        <v>274.84800000000001</v>
      </c>
      <c r="E34">
        <v>115.9</v>
      </c>
      <c r="F34">
        <v>18.139700000000001</v>
      </c>
      <c r="G34">
        <v>159.1</v>
      </c>
      <c r="H34">
        <v>172.24299999999999</v>
      </c>
      <c r="I34">
        <v>50.080800000000004</v>
      </c>
      <c r="J34">
        <v>516.91</v>
      </c>
      <c r="K34">
        <v>83.370199999999997</v>
      </c>
      <c r="L34">
        <v>142.06399999999999</v>
      </c>
      <c r="M34">
        <v>95.230699999999999</v>
      </c>
      <c r="N34">
        <v>161.059</v>
      </c>
      <c r="O34">
        <v>95.311199999999999</v>
      </c>
      <c r="P34">
        <v>36.734299999999998</v>
      </c>
      <c r="Q34">
        <v>65.483800000000002</v>
      </c>
      <c r="R34">
        <v>134.94999999999999</v>
      </c>
      <c r="S34">
        <v>297.14999999999998</v>
      </c>
      <c r="T34">
        <v>114.24</v>
      </c>
      <c r="U34">
        <v>297.19099999999997</v>
      </c>
      <c r="V34">
        <v>260.46899999999999</v>
      </c>
    </row>
    <row r="35" spans="1:22" x14ac:dyDescent="0.2">
      <c r="A35" t="s">
        <v>34</v>
      </c>
      <c r="B35">
        <v>3955</v>
      </c>
      <c r="C35">
        <v>155.15600000000001</v>
      </c>
      <c r="D35">
        <v>256.52699999999999</v>
      </c>
      <c r="E35">
        <v>107.82899999999999</v>
      </c>
      <c r="F35">
        <v>15.0747</v>
      </c>
      <c r="G35">
        <v>162.93</v>
      </c>
      <c r="H35">
        <v>160.30500000000001</v>
      </c>
      <c r="I35">
        <v>44.845599999999997</v>
      </c>
      <c r="J35">
        <v>494.97800000000001</v>
      </c>
      <c r="K35">
        <v>79.656300000000002</v>
      </c>
      <c r="L35">
        <v>133.10599999999999</v>
      </c>
      <c r="M35">
        <v>94.826599999999999</v>
      </c>
      <c r="N35">
        <v>156.84700000000001</v>
      </c>
      <c r="O35">
        <v>107.551</v>
      </c>
      <c r="P35">
        <v>37.845300000000002</v>
      </c>
      <c r="Q35">
        <v>70.712500000000006</v>
      </c>
      <c r="R35">
        <v>126.77</v>
      </c>
      <c r="S35">
        <v>275.61</v>
      </c>
      <c r="T35">
        <v>105.82</v>
      </c>
      <c r="U35">
        <v>286.68599999999998</v>
      </c>
      <c r="V35">
        <v>250.86699999999999</v>
      </c>
    </row>
    <row r="36" spans="1:22" x14ac:dyDescent="0.2">
      <c r="A36" t="s">
        <v>35</v>
      </c>
      <c r="B36">
        <v>3585.62</v>
      </c>
      <c r="C36">
        <v>136.38499999999999</v>
      </c>
      <c r="D36">
        <v>228.49600000000001</v>
      </c>
      <c r="E36">
        <v>95.304500000000004</v>
      </c>
      <c r="F36">
        <v>12.127000000000001</v>
      </c>
      <c r="G36">
        <v>135.68</v>
      </c>
      <c r="H36">
        <v>162.31200000000001</v>
      </c>
      <c r="I36">
        <v>43.388100000000001</v>
      </c>
      <c r="J36">
        <v>482.86799999999999</v>
      </c>
      <c r="K36">
        <v>81.013199999999998</v>
      </c>
      <c r="L36">
        <v>132.858</v>
      </c>
      <c r="M36">
        <v>86.612700000000004</v>
      </c>
      <c r="N36">
        <v>142.56700000000001</v>
      </c>
      <c r="O36">
        <v>101.95</v>
      </c>
      <c r="P36">
        <v>35.777700000000003</v>
      </c>
      <c r="Q36">
        <v>61.324599999999997</v>
      </c>
      <c r="R36">
        <v>113</v>
      </c>
      <c r="S36">
        <v>265.25</v>
      </c>
      <c r="T36">
        <v>82.865700000000004</v>
      </c>
      <c r="U36">
        <v>274.28100000000001</v>
      </c>
      <c r="V36">
        <v>229.44800000000001</v>
      </c>
    </row>
    <row r="37" spans="1:22" x14ac:dyDescent="0.2">
      <c r="A37" t="s">
        <v>36</v>
      </c>
      <c r="B37">
        <v>3871.98</v>
      </c>
      <c r="C37">
        <v>151.32599999999999</v>
      </c>
      <c r="D37">
        <v>227.74</v>
      </c>
      <c r="E37">
        <v>94.168700000000001</v>
      </c>
      <c r="F37">
        <v>13.483700000000001</v>
      </c>
      <c r="G37">
        <v>93.16</v>
      </c>
      <c r="H37">
        <v>172.85400000000001</v>
      </c>
      <c r="I37">
        <v>46.154400000000003</v>
      </c>
      <c r="J37">
        <v>530.77800000000002</v>
      </c>
      <c r="K37">
        <v>95.199399999999997</v>
      </c>
      <c r="L37">
        <v>146.4</v>
      </c>
      <c r="M37">
        <v>109.925</v>
      </c>
      <c r="N37">
        <v>179.511</v>
      </c>
      <c r="O37">
        <v>125.61</v>
      </c>
      <c r="P37">
        <v>51.852800000000002</v>
      </c>
      <c r="Q37">
        <v>72.451899999999995</v>
      </c>
      <c r="R37">
        <v>102.44</v>
      </c>
      <c r="S37">
        <v>227.54</v>
      </c>
      <c r="T37">
        <v>92.3964</v>
      </c>
      <c r="U37">
        <v>294.34899999999999</v>
      </c>
      <c r="V37">
        <v>271.13299999999998</v>
      </c>
    </row>
    <row r="38" spans="1:22" x14ac:dyDescent="0.2">
      <c r="A38" t="s">
        <v>37</v>
      </c>
      <c r="B38">
        <v>4080.11</v>
      </c>
      <c r="C38">
        <v>146.328</v>
      </c>
      <c r="D38">
        <v>251.02199999999999</v>
      </c>
      <c r="E38">
        <v>100.625</v>
      </c>
      <c r="F38">
        <v>16.910599999999999</v>
      </c>
      <c r="G38">
        <v>118.1</v>
      </c>
      <c r="H38">
        <v>178</v>
      </c>
      <c r="I38">
        <v>50.13</v>
      </c>
      <c r="J38">
        <v>523.71299999999997</v>
      </c>
      <c r="K38">
        <v>103.589</v>
      </c>
      <c r="L38">
        <v>161.18</v>
      </c>
      <c r="M38">
        <v>111.34</v>
      </c>
      <c r="N38">
        <v>183.31</v>
      </c>
      <c r="O38">
        <v>123.51</v>
      </c>
      <c r="P38">
        <v>51.374400000000001</v>
      </c>
      <c r="Q38">
        <v>69.348200000000006</v>
      </c>
      <c r="R38">
        <v>96.54</v>
      </c>
      <c r="S38">
        <v>194.7</v>
      </c>
      <c r="T38">
        <v>109.354</v>
      </c>
      <c r="U38">
        <v>323.99</v>
      </c>
      <c r="V38">
        <v>272.79000000000002</v>
      </c>
    </row>
    <row r="39" spans="1:22" x14ac:dyDescent="0.2">
      <c r="A39" t="s">
        <v>38</v>
      </c>
      <c r="B39">
        <v>3839.5</v>
      </c>
      <c r="C39">
        <v>128.43700000000001</v>
      </c>
      <c r="D39">
        <v>235.94900000000001</v>
      </c>
      <c r="E39">
        <v>87.911299999999997</v>
      </c>
      <c r="F39">
        <v>14.603400000000001</v>
      </c>
      <c r="G39">
        <v>120.34</v>
      </c>
      <c r="H39">
        <v>176.65</v>
      </c>
      <c r="I39">
        <v>51.24</v>
      </c>
      <c r="J39">
        <v>508.46600000000001</v>
      </c>
      <c r="K39">
        <v>105.062</v>
      </c>
      <c r="L39">
        <v>161.61000000000001</v>
      </c>
      <c r="M39">
        <v>110.3</v>
      </c>
      <c r="N39">
        <v>179.49</v>
      </c>
      <c r="O39">
        <v>118</v>
      </c>
      <c r="P39">
        <v>53.46</v>
      </c>
      <c r="Q39">
        <v>62.99</v>
      </c>
      <c r="R39">
        <v>84</v>
      </c>
      <c r="S39">
        <v>123.18</v>
      </c>
      <c r="T39">
        <v>117.01</v>
      </c>
      <c r="U39">
        <v>315.86</v>
      </c>
      <c r="V39">
        <v>263.52999999999997</v>
      </c>
    </row>
    <row r="40" spans="1:22" x14ac:dyDescent="0.2">
      <c r="A40" t="s">
        <v>39</v>
      </c>
      <c r="B40">
        <v>4076.6</v>
      </c>
      <c r="C40">
        <v>142.63200000000001</v>
      </c>
      <c r="D40">
        <v>243.81</v>
      </c>
      <c r="E40">
        <v>98.483000000000004</v>
      </c>
      <c r="F40">
        <v>19.5229</v>
      </c>
      <c r="G40">
        <v>148.97</v>
      </c>
      <c r="H40">
        <v>163.41999999999999</v>
      </c>
      <c r="I40">
        <v>44.16</v>
      </c>
      <c r="J40">
        <v>478.74400000000003</v>
      </c>
      <c r="K40">
        <v>101.71</v>
      </c>
      <c r="L40">
        <v>147.75</v>
      </c>
      <c r="M40">
        <v>116.01</v>
      </c>
      <c r="N40">
        <v>174.02</v>
      </c>
      <c r="O40">
        <v>121.87</v>
      </c>
      <c r="P40">
        <v>56.98</v>
      </c>
      <c r="Q40">
        <v>64.790000000000006</v>
      </c>
      <c r="R40">
        <v>103.13</v>
      </c>
      <c r="S40">
        <v>173.22</v>
      </c>
      <c r="T40">
        <v>127.33</v>
      </c>
      <c r="U40">
        <v>324.17</v>
      </c>
      <c r="V40">
        <v>267.39999999999998</v>
      </c>
    </row>
    <row r="41" spans="1:22" x14ac:dyDescent="0.2">
      <c r="A41" t="s">
        <v>40</v>
      </c>
      <c r="B41">
        <v>3970.15</v>
      </c>
      <c r="C41">
        <v>145.93799999999999</v>
      </c>
      <c r="D41">
        <v>246.00899999999999</v>
      </c>
      <c r="E41">
        <v>89.734800000000007</v>
      </c>
      <c r="F41">
        <v>23.199200000000001</v>
      </c>
      <c r="G41">
        <v>174.94</v>
      </c>
      <c r="H41">
        <v>153.26</v>
      </c>
      <c r="I41">
        <v>40.57</v>
      </c>
      <c r="J41">
        <v>456.447</v>
      </c>
      <c r="K41">
        <v>100.60299999999999</v>
      </c>
      <c r="L41">
        <v>153.9</v>
      </c>
      <c r="M41">
        <v>109.91</v>
      </c>
      <c r="N41">
        <v>160.77000000000001</v>
      </c>
      <c r="O41">
        <v>103.35</v>
      </c>
      <c r="P41">
        <v>53.21</v>
      </c>
      <c r="Q41">
        <v>58.56</v>
      </c>
      <c r="R41">
        <v>94.23</v>
      </c>
      <c r="S41">
        <v>205.71</v>
      </c>
      <c r="T41">
        <v>118.79</v>
      </c>
      <c r="U41">
        <v>296.54000000000002</v>
      </c>
      <c r="V41">
        <v>263.91000000000003</v>
      </c>
    </row>
    <row r="42" spans="1:22" x14ac:dyDescent="0.2">
      <c r="A42" t="s">
        <v>41</v>
      </c>
      <c r="B42">
        <v>4109.3100000000004</v>
      </c>
      <c r="C42">
        <v>163.255</v>
      </c>
      <c r="D42">
        <v>284.35500000000002</v>
      </c>
      <c r="E42">
        <v>103.35599999999999</v>
      </c>
      <c r="F42">
        <v>27.761500000000002</v>
      </c>
      <c r="G42">
        <v>211.94</v>
      </c>
      <c r="H42">
        <v>155</v>
      </c>
      <c r="I42">
        <v>40.799999999999997</v>
      </c>
      <c r="J42">
        <v>454.84899999999999</v>
      </c>
      <c r="K42">
        <v>101.444</v>
      </c>
      <c r="L42">
        <v>159.37</v>
      </c>
      <c r="M42">
        <v>109.66</v>
      </c>
      <c r="N42">
        <v>163.16</v>
      </c>
      <c r="O42">
        <v>99.21</v>
      </c>
      <c r="P42">
        <v>49.1</v>
      </c>
      <c r="Q42">
        <v>62.43</v>
      </c>
      <c r="R42">
        <v>103.29</v>
      </c>
      <c r="S42">
        <v>207.46</v>
      </c>
      <c r="T42">
        <v>122.64</v>
      </c>
      <c r="U42">
        <v>295.12</v>
      </c>
      <c r="V42">
        <v>279.61</v>
      </c>
    </row>
    <row r="43" spans="1:22" x14ac:dyDescent="0.2">
      <c r="A43" t="s">
        <v>42</v>
      </c>
      <c r="B43">
        <v>4169.4799999999996</v>
      </c>
      <c r="C43">
        <v>167.98500000000001</v>
      </c>
      <c r="D43">
        <v>303.05500000000001</v>
      </c>
      <c r="E43">
        <v>106.952</v>
      </c>
      <c r="F43">
        <v>27.733499999999999</v>
      </c>
      <c r="G43">
        <v>240.32</v>
      </c>
      <c r="H43">
        <v>163.69999999999999</v>
      </c>
      <c r="I43">
        <v>38.89</v>
      </c>
      <c r="J43">
        <v>473.61900000000003</v>
      </c>
      <c r="K43">
        <v>110.10299999999999</v>
      </c>
      <c r="L43">
        <v>151.12</v>
      </c>
      <c r="M43">
        <v>118.34</v>
      </c>
      <c r="N43">
        <v>168.58</v>
      </c>
      <c r="O43">
        <v>102.89</v>
      </c>
      <c r="P43">
        <v>49.35</v>
      </c>
      <c r="Q43">
        <v>61.53</v>
      </c>
      <c r="R43">
        <v>105.45</v>
      </c>
      <c r="S43">
        <v>164.31</v>
      </c>
      <c r="T43">
        <v>126.72</v>
      </c>
      <c r="U43">
        <v>300.54000000000002</v>
      </c>
      <c r="V43">
        <v>295.75</v>
      </c>
    </row>
    <row r="44" spans="1:22" x14ac:dyDescent="0.2">
      <c r="A44" t="s">
        <v>43</v>
      </c>
      <c r="B44">
        <v>4179.83</v>
      </c>
      <c r="C44">
        <v>175.72300000000001</v>
      </c>
      <c r="D44">
        <v>324.60399999999998</v>
      </c>
      <c r="E44">
        <v>122.426</v>
      </c>
      <c r="F44">
        <v>37.813000000000002</v>
      </c>
      <c r="G44">
        <v>264.72000000000003</v>
      </c>
      <c r="H44">
        <v>155.06</v>
      </c>
      <c r="I44">
        <v>38.020000000000003</v>
      </c>
      <c r="J44">
        <v>468.95</v>
      </c>
      <c r="K44">
        <v>105.277</v>
      </c>
      <c r="L44">
        <v>137.96</v>
      </c>
      <c r="M44">
        <v>102.18</v>
      </c>
      <c r="N44">
        <v>150.62</v>
      </c>
      <c r="O44">
        <v>99.3</v>
      </c>
      <c r="P44">
        <v>42.83</v>
      </c>
      <c r="Q44">
        <v>57.66</v>
      </c>
      <c r="R44">
        <v>120.58</v>
      </c>
      <c r="S44">
        <v>203.93</v>
      </c>
      <c r="T44">
        <v>105.26</v>
      </c>
      <c r="U44">
        <v>283.45</v>
      </c>
      <c r="V44">
        <v>285.11</v>
      </c>
    </row>
    <row r="45" spans="1:22" x14ac:dyDescent="0.2">
      <c r="A45" t="s">
        <v>44</v>
      </c>
      <c r="B45">
        <v>4450.38</v>
      </c>
      <c r="C45">
        <v>192.298</v>
      </c>
      <c r="D45">
        <v>336.61599999999999</v>
      </c>
      <c r="E45">
        <v>119.268</v>
      </c>
      <c r="F45">
        <v>42.282800000000002</v>
      </c>
      <c r="G45">
        <v>286.98</v>
      </c>
      <c r="H45">
        <v>165.52</v>
      </c>
      <c r="I45">
        <v>36.68</v>
      </c>
      <c r="J45">
        <v>464.49599999999998</v>
      </c>
      <c r="K45">
        <v>110.762</v>
      </c>
      <c r="L45">
        <v>134.72999999999999</v>
      </c>
      <c r="M45">
        <v>107.25</v>
      </c>
      <c r="N45">
        <v>157.35</v>
      </c>
      <c r="O45">
        <v>103.61</v>
      </c>
      <c r="P45">
        <v>49.12</v>
      </c>
      <c r="Q45">
        <v>58.8</v>
      </c>
      <c r="R45">
        <v>130.36000000000001</v>
      </c>
      <c r="S45">
        <v>261.77</v>
      </c>
      <c r="T45">
        <v>110.37</v>
      </c>
      <c r="U45">
        <v>310.64</v>
      </c>
      <c r="V45">
        <v>298.41000000000003</v>
      </c>
    </row>
    <row r="46" spans="1:22" x14ac:dyDescent="0.2">
      <c r="A46" t="s">
        <v>45</v>
      </c>
      <c r="B46">
        <v>4588.96</v>
      </c>
      <c r="C46">
        <v>194.75700000000001</v>
      </c>
      <c r="D46">
        <v>332.048</v>
      </c>
      <c r="E46">
        <v>132.24</v>
      </c>
      <c r="F46">
        <v>46.707799999999999</v>
      </c>
      <c r="G46">
        <v>318.60000000000002</v>
      </c>
      <c r="H46">
        <v>167.53</v>
      </c>
      <c r="I46">
        <v>36.06</v>
      </c>
      <c r="J46">
        <v>489.36200000000002</v>
      </c>
      <c r="K46">
        <v>102.373</v>
      </c>
      <c r="L46">
        <v>149.58000000000001</v>
      </c>
      <c r="M46">
        <v>107.24</v>
      </c>
      <c r="N46">
        <v>163.66</v>
      </c>
      <c r="O46">
        <v>117.72</v>
      </c>
      <c r="P46">
        <v>58.34</v>
      </c>
      <c r="Q46">
        <v>63.13</v>
      </c>
      <c r="R46">
        <v>133.68</v>
      </c>
      <c r="S46">
        <v>267.43</v>
      </c>
      <c r="T46">
        <v>110.39</v>
      </c>
      <c r="U46">
        <v>333.84</v>
      </c>
      <c r="V46">
        <v>293.2</v>
      </c>
    </row>
    <row r="47" spans="1:22" x14ac:dyDescent="0.2">
      <c r="A47" t="s">
        <v>46</v>
      </c>
      <c r="B47">
        <v>4507.66</v>
      </c>
      <c r="C47">
        <v>186.50399999999999</v>
      </c>
      <c r="D47">
        <v>324.66800000000001</v>
      </c>
      <c r="E47">
        <v>135.679</v>
      </c>
      <c r="F47">
        <v>49.332599999999999</v>
      </c>
      <c r="G47">
        <v>295.89</v>
      </c>
      <c r="H47">
        <v>161.68</v>
      </c>
      <c r="I47">
        <v>35.380000000000003</v>
      </c>
      <c r="J47">
        <v>460.572</v>
      </c>
      <c r="K47">
        <v>104.61</v>
      </c>
      <c r="L47">
        <v>146.96</v>
      </c>
      <c r="M47">
        <v>111.19</v>
      </c>
      <c r="N47">
        <v>161.1</v>
      </c>
      <c r="O47">
        <v>119.03</v>
      </c>
      <c r="P47">
        <v>58.96</v>
      </c>
      <c r="Q47">
        <v>62.79</v>
      </c>
      <c r="R47">
        <v>138.01</v>
      </c>
      <c r="S47">
        <v>258.08</v>
      </c>
      <c r="T47">
        <v>101.71</v>
      </c>
      <c r="U47">
        <v>330.3</v>
      </c>
      <c r="V47">
        <v>281.14999999999998</v>
      </c>
    </row>
    <row r="48" spans="1:22" x14ac:dyDescent="0.2">
      <c r="A48" t="s">
        <v>47</v>
      </c>
      <c r="B48">
        <v>4288.05</v>
      </c>
      <c r="C48">
        <v>169.965</v>
      </c>
      <c r="D48">
        <v>312.77100000000002</v>
      </c>
      <c r="E48">
        <v>130.38800000000001</v>
      </c>
      <c r="F48">
        <v>43.482900000000001</v>
      </c>
      <c r="G48">
        <v>300.20999999999998</v>
      </c>
      <c r="H48">
        <v>155.75</v>
      </c>
      <c r="I48">
        <v>33.17</v>
      </c>
      <c r="J48">
        <v>489.15300000000002</v>
      </c>
      <c r="K48">
        <v>99.494600000000005</v>
      </c>
      <c r="L48">
        <v>149.06</v>
      </c>
      <c r="M48">
        <v>117.58</v>
      </c>
      <c r="N48">
        <v>168.62</v>
      </c>
      <c r="O48">
        <v>119.8</v>
      </c>
      <c r="P48">
        <v>58.3</v>
      </c>
      <c r="Q48">
        <v>64.88</v>
      </c>
      <c r="R48">
        <v>127.12</v>
      </c>
      <c r="S48">
        <v>250.22</v>
      </c>
      <c r="T48">
        <v>95.62</v>
      </c>
      <c r="U48">
        <v>302.16000000000003</v>
      </c>
      <c r="V48">
        <v>263.44</v>
      </c>
    </row>
    <row r="49" spans="1:22" x14ac:dyDescent="0.2">
      <c r="A49" t="s">
        <v>48</v>
      </c>
      <c r="B49">
        <v>4193.8</v>
      </c>
      <c r="C49">
        <v>169.52699999999999</v>
      </c>
      <c r="D49">
        <v>334.92099999999999</v>
      </c>
      <c r="E49">
        <v>123.63200000000001</v>
      </c>
      <c r="F49">
        <v>40.764899999999997</v>
      </c>
      <c r="G49">
        <v>301.27</v>
      </c>
      <c r="H49">
        <v>148.34</v>
      </c>
      <c r="I49">
        <v>30.56</v>
      </c>
      <c r="J49">
        <v>519.58600000000001</v>
      </c>
      <c r="K49">
        <v>99.252499999999998</v>
      </c>
      <c r="L49">
        <v>141.18</v>
      </c>
      <c r="M49">
        <v>105.85</v>
      </c>
      <c r="N49">
        <v>145.72999999999999</v>
      </c>
      <c r="O49">
        <v>118.8</v>
      </c>
      <c r="P49">
        <v>55.66</v>
      </c>
      <c r="Q49">
        <v>61.81</v>
      </c>
      <c r="R49">
        <v>133.09</v>
      </c>
      <c r="S49">
        <v>200.84</v>
      </c>
      <c r="T49">
        <v>102.77</v>
      </c>
      <c r="U49">
        <v>284.69</v>
      </c>
      <c r="V49">
        <v>262.17</v>
      </c>
    </row>
    <row r="50" spans="1:22" x14ac:dyDescent="0.2">
      <c r="A50" t="s">
        <v>49</v>
      </c>
      <c r="B50">
        <v>4567.8</v>
      </c>
      <c r="C50">
        <v>188.816</v>
      </c>
      <c r="D50">
        <v>376.09800000000001</v>
      </c>
      <c r="E50">
        <v>132.05199999999999</v>
      </c>
      <c r="F50">
        <v>46.752699999999997</v>
      </c>
      <c r="G50">
        <v>327.14999999999998</v>
      </c>
      <c r="H50">
        <v>154.66</v>
      </c>
      <c r="I50">
        <v>30.47</v>
      </c>
      <c r="J50">
        <v>536.47799999999995</v>
      </c>
      <c r="K50">
        <v>99.040300000000002</v>
      </c>
      <c r="L50">
        <v>142.38999999999999</v>
      </c>
      <c r="M50">
        <v>102.74</v>
      </c>
      <c r="N50">
        <v>143.6</v>
      </c>
      <c r="O50">
        <v>115.57</v>
      </c>
      <c r="P50">
        <v>52.04</v>
      </c>
      <c r="Q50">
        <v>59.15</v>
      </c>
      <c r="R50">
        <v>146.09</v>
      </c>
      <c r="S50">
        <v>240.08</v>
      </c>
      <c r="T50">
        <v>110.27</v>
      </c>
      <c r="U50">
        <v>313.49</v>
      </c>
      <c r="V50">
        <v>281.83999999999997</v>
      </c>
    </row>
    <row r="51" spans="1:22" x14ac:dyDescent="0.2">
      <c r="A51" t="s">
        <v>50</v>
      </c>
      <c r="B51">
        <v>4769.83</v>
      </c>
      <c r="C51">
        <v>191.38200000000001</v>
      </c>
      <c r="D51">
        <v>373.24900000000002</v>
      </c>
      <c r="E51">
        <v>139.185</v>
      </c>
      <c r="F51">
        <v>49.508000000000003</v>
      </c>
      <c r="G51">
        <v>353.96</v>
      </c>
      <c r="H51">
        <v>156.74</v>
      </c>
      <c r="I51">
        <v>28.79</v>
      </c>
      <c r="J51">
        <v>512.51099999999997</v>
      </c>
      <c r="K51">
        <v>106.124</v>
      </c>
      <c r="L51">
        <v>154.97</v>
      </c>
      <c r="M51">
        <v>99.98</v>
      </c>
      <c r="N51">
        <v>149.16</v>
      </c>
      <c r="O51">
        <v>116.07</v>
      </c>
      <c r="P51">
        <v>52.04</v>
      </c>
      <c r="Q51">
        <v>59.71</v>
      </c>
      <c r="R51">
        <v>151.94</v>
      </c>
      <c r="S51">
        <v>248.48</v>
      </c>
      <c r="T51">
        <v>108.57</v>
      </c>
      <c r="U51">
        <v>346.55</v>
      </c>
      <c r="V51">
        <v>296.51</v>
      </c>
    </row>
    <row r="52" spans="1:22" x14ac:dyDescent="0.2">
      <c r="A52" t="s">
        <v>51</v>
      </c>
      <c r="B52">
        <v>4845.6499999999996</v>
      </c>
      <c r="C52">
        <v>183.29900000000001</v>
      </c>
      <c r="D52">
        <v>394.62799999999999</v>
      </c>
      <c r="E52">
        <v>139.59399999999999</v>
      </c>
      <c r="F52">
        <v>61.509500000000003</v>
      </c>
      <c r="G52">
        <v>390.14</v>
      </c>
      <c r="H52">
        <v>158.9</v>
      </c>
      <c r="I52">
        <v>27.08</v>
      </c>
      <c r="J52">
        <v>498.17099999999999</v>
      </c>
      <c r="K52">
        <v>117.571</v>
      </c>
      <c r="L52">
        <v>164.4</v>
      </c>
      <c r="M52">
        <v>102.81</v>
      </c>
      <c r="N52">
        <v>147.43</v>
      </c>
      <c r="O52">
        <v>111.87</v>
      </c>
      <c r="P52">
        <v>48.7</v>
      </c>
      <c r="Q52">
        <v>57.57</v>
      </c>
      <c r="R52">
        <v>155.19999999999999</v>
      </c>
      <c r="S52">
        <v>187.29</v>
      </c>
      <c r="T52">
        <v>101.53</v>
      </c>
      <c r="U52">
        <v>352.96</v>
      </c>
      <c r="V52">
        <v>292.72000000000003</v>
      </c>
    </row>
    <row r="53" spans="1:22" x14ac:dyDescent="0.2">
      <c r="A53" t="s">
        <v>52</v>
      </c>
      <c r="B53">
        <v>5096.2700000000004</v>
      </c>
      <c r="C53">
        <v>179.9</v>
      </c>
      <c r="D53">
        <v>411.32900000000001</v>
      </c>
      <c r="E53">
        <v>137.96</v>
      </c>
      <c r="F53">
        <v>79.089600000000004</v>
      </c>
      <c r="G53">
        <v>490.13</v>
      </c>
      <c r="H53">
        <v>161.38</v>
      </c>
      <c r="I53">
        <v>26.56</v>
      </c>
      <c r="J53">
        <v>480.512</v>
      </c>
      <c r="K53">
        <v>123.77200000000001</v>
      </c>
      <c r="L53">
        <v>176.05</v>
      </c>
      <c r="M53">
        <v>104.52</v>
      </c>
      <c r="N53">
        <v>152.01</v>
      </c>
      <c r="O53">
        <v>112.54</v>
      </c>
      <c r="P53">
        <v>48.33</v>
      </c>
      <c r="Q53">
        <v>60.61</v>
      </c>
      <c r="R53">
        <v>176.76</v>
      </c>
      <c r="S53">
        <v>201.88</v>
      </c>
      <c r="T53">
        <v>103.93</v>
      </c>
      <c r="U53">
        <v>380.61</v>
      </c>
      <c r="V53">
        <v>292.27999999999997</v>
      </c>
    </row>
    <row r="54" spans="1:22" x14ac:dyDescent="0.2">
      <c r="A54" t="s">
        <v>53</v>
      </c>
      <c r="B54">
        <v>5254.35</v>
      </c>
      <c r="C54">
        <v>170.67400000000001</v>
      </c>
      <c r="D54">
        <v>418.37</v>
      </c>
      <c r="E54">
        <v>150.38499999999999</v>
      </c>
      <c r="F54">
        <v>90.334699999999998</v>
      </c>
      <c r="G54">
        <v>485.58</v>
      </c>
      <c r="H54">
        <v>158.19</v>
      </c>
      <c r="I54">
        <v>27.75</v>
      </c>
      <c r="J54">
        <v>483.48</v>
      </c>
      <c r="K54">
        <v>129.25800000000001</v>
      </c>
      <c r="L54">
        <v>182.1</v>
      </c>
      <c r="M54">
        <v>116.24</v>
      </c>
      <c r="N54">
        <v>157.74</v>
      </c>
      <c r="O54">
        <v>127.28</v>
      </c>
      <c r="P54">
        <v>54.81</v>
      </c>
      <c r="Q54">
        <v>64.989999999999995</v>
      </c>
      <c r="R54">
        <v>180.38</v>
      </c>
      <c r="S54">
        <v>175.79</v>
      </c>
      <c r="T54">
        <v>93.98</v>
      </c>
      <c r="U54">
        <v>383.6</v>
      </c>
      <c r="V54">
        <v>281.95</v>
      </c>
    </row>
    <row r="55" spans="1:22" x14ac:dyDescent="0.2">
      <c r="A55" t="s">
        <v>54</v>
      </c>
      <c r="B55">
        <v>5035.6899999999996</v>
      </c>
      <c r="C55">
        <v>169.529</v>
      </c>
      <c r="D55">
        <v>387.15499999999997</v>
      </c>
      <c r="E55">
        <v>162.19200000000001</v>
      </c>
      <c r="F55">
        <v>86.381500000000003</v>
      </c>
      <c r="G55">
        <v>430.17</v>
      </c>
      <c r="H55">
        <v>144.59</v>
      </c>
      <c r="I55">
        <v>25.62</v>
      </c>
      <c r="J55">
        <v>472.73</v>
      </c>
      <c r="K55">
        <v>126.58499999999999</v>
      </c>
      <c r="L55">
        <v>162.63999999999999</v>
      </c>
      <c r="M55">
        <v>118.27</v>
      </c>
      <c r="N55">
        <v>161.27000000000001</v>
      </c>
      <c r="O55">
        <v>125.62</v>
      </c>
      <c r="P55">
        <v>47.48</v>
      </c>
      <c r="Q55">
        <v>66.14</v>
      </c>
      <c r="R55">
        <v>175</v>
      </c>
      <c r="S55">
        <v>183.28</v>
      </c>
      <c r="T55">
        <v>92.26</v>
      </c>
      <c r="U55">
        <v>334.22</v>
      </c>
      <c r="V55">
        <v>273.04000000000002</v>
      </c>
    </row>
    <row r="56" spans="1:22" x14ac:dyDescent="0.2">
      <c r="A56" t="s">
        <v>55</v>
      </c>
      <c r="B56">
        <v>5277.51</v>
      </c>
      <c r="C56">
        <v>191.60599999999999</v>
      </c>
      <c r="D56">
        <v>413.55500000000001</v>
      </c>
      <c r="E56">
        <v>171.87700000000001</v>
      </c>
      <c r="F56">
        <v>109.607</v>
      </c>
      <c r="G56">
        <v>466.83</v>
      </c>
      <c r="H56">
        <v>148.58000000000001</v>
      </c>
      <c r="I56">
        <v>28.16</v>
      </c>
      <c r="J56">
        <v>484.13499999999999</v>
      </c>
      <c r="K56">
        <v>122.98</v>
      </c>
      <c r="L56">
        <v>163.79</v>
      </c>
      <c r="M56">
        <v>116.75</v>
      </c>
      <c r="N56">
        <v>160.25</v>
      </c>
      <c r="O56">
        <v>122.23</v>
      </c>
      <c r="P56">
        <v>47.96</v>
      </c>
      <c r="Q56">
        <v>65.02</v>
      </c>
      <c r="R56">
        <v>176.44</v>
      </c>
      <c r="S56">
        <v>178.08</v>
      </c>
      <c r="T56">
        <v>93.36</v>
      </c>
      <c r="U56">
        <v>342.29</v>
      </c>
      <c r="V56">
        <v>269.3</v>
      </c>
    </row>
    <row r="57" spans="1:22" x14ac:dyDescent="0.2">
      <c r="A57" t="s">
        <v>56</v>
      </c>
      <c r="B57">
        <v>5460.48</v>
      </c>
      <c r="C57">
        <v>209.91399999999999</v>
      </c>
      <c r="D57">
        <v>445.255</v>
      </c>
      <c r="E57">
        <v>181.70099999999999</v>
      </c>
      <c r="F57">
        <v>123.52</v>
      </c>
      <c r="G57">
        <v>504.22</v>
      </c>
      <c r="H57">
        <v>146.16</v>
      </c>
      <c r="I57">
        <v>27.98</v>
      </c>
      <c r="J57">
        <v>499.82299999999998</v>
      </c>
      <c r="K57">
        <v>122</v>
      </c>
      <c r="L57">
        <v>171.52</v>
      </c>
      <c r="M57">
        <v>115.12</v>
      </c>
      <c r="N57">
        <v>156.41999999999999</v>
      </c>
      <c r="O57">
        <v>114.38</v>
      </c>
      <c r="P57">
        <v>47.18</v>
      </c>
      <c r="Q57">
        <v>63.03</v>
      </c>
      <c r="R57">
        <v>193.25</v>
      </c>
      <c r="S57">
        <v>197.88</v>
      </c>
      <c r="T57">
        <v>75.37</v>
      </c>
      <c r="U57">
        <v>344.24</v>
      </c>
      <c r="V57">
        <v>254.84</v>
      </c>
    </row>
    <row r="58" spans="1:22" x14ac:dyDescent="0.2">
      <c r="A58" t="s">
        <v>57</v>
      </c>
      <c r="B58">
        <v>5522.3</v>
      </c>
      <c r="C58">
        <v>221.33600000000001</v>
      </c>
      <c r="D58">
        <v>416.76299999999998</v>
      </c>
      <c r="E58">
        <v>171.11699999999999</v>
      </c>
      <c r="F58">
        <v>117.002</v>
      </c>
      <c r="G58">
        <v>474.83</v>
      </c>
      <c r="H58">
        <v>157.85</v>
      </c>
      <c r="I58">
        <v>30.54</v>
      </c>
      <c r="J58">
        <v>565.48199999999997</v>
      </c>
      <c r="K58">
        <v>111.486</v>
      </c>
      <c r="L58">
        <v>185.32</v>
      </c>
      <c r="M58">
        <v>118.59</v>
      </c>
      <c r="N58">
        <v>160.47</v>
      </c>
      <c r="O58">
        <v>111.2</v>
      </c>
      <c r="P58">
        <v>48.29</v>
      </c>
      <c r="Q58">
        <v>60.82</v>
      </c>
      <c r="R58">
        <v>186.98</v>
      </c>
      <c r="S58">
        <v>232.07</v>
      </c>
      <c r="T58">
        <v>74.86</v>
      </c>
      <c r="U58">
        <v>368.16</v>
      </c>
      <c r="V58">
        <v>265.39999999999998</v>
      </c>
    </row>
    <row r="59" spans="1:22" x14ac:dyDescent="0.2">
      <c r="A59" t="s">
        <v>58</v>
      </c>
      <c r="B59">
        <v>5648.4</v>
      </c>
      <c r="C59">
        <v>228.49700000000001</v>
      </c>
      <c r="D59">
        <v>416.30700000000002</v>
      </c>
      <c r="E59">
        <v>162.976</v>
      </c>
      <c r="F59">
        <v>119.352</v>
      </c>
      <c r="G59">
        <v>521.30999999999995</v>
      </c>
      <c r="H59">
        <v>165.86</v>
      </c>
      <c r="I59">
        <v>29.01</v>
      </c>
      <c r="J59">
        <v>579.26300000000003</v>
      </c>
      <c r="K59">
        <v>116.729</v>
      </c>
      <c r="L59">
        <v>196.31</v>
      </c>
      <c r="M59">
        <v>117.94</v>
      </c>
      <c r="N59">
        <v>147.94999999999999</v>
      </c>
      <c r="O59">
        <v>113.79</v>
      </c>
      <c r="P59">
        <v>43.99</v>
      </c>
      <c r="Q59">
        <v>56.98</v>
      </c>
      <c r="R59">
        <v>178.5</v>
      </c>
      <c r="S59">
        <v>214.11</v>
      </c>
      <c r="T59">
        <v>83.32</v>
      </c>
      <c r="U59">
        <v>368.5</v>
      </c>
      <c r="V59">
        <v>288.66000000000003</v>
      </c>
    </row>
    <row r="60" spans="1:22" x14ac:dyDescent="0.2">
      <c r="A60" t="s">
        <v>59</v>
      </c>
      <c r="B60">
        <v>5762.48</v>
      </c>
      <c r="C60">
        <v>232.488</v>
      </c>
      <c r="D60">
        <v>429.44</v>
      </c>
      <c r="E60">
        <v>165.66</v>
      </c>
      <c r="F60">
        <v>121.432</v>
      </c>
      <c r="G60">
        <v>572.44000000000005</v>
      </c>
      <c r="H60">
        <v>162.06</v>
      </c>
      <c r="I60">
        <v>28.94</v>
      </c>
      <c r="J60">
        <v>575.87900000000002</v>
      </c>
      <c r="K60">
        <v>112.658</v>
      </c>
      <c r="L60">
        <v>197.48</v>
      </c>
      <c r="M60">
        <v>117.22</v>
      </c>
      <c r="N60">
        <v>147.27000000000001</v>
      </c>
      <c r="O60">
        <v>105.28</v>
      </c>
      <c r="P60">
        <v>41.95</v>
      </c>
      <c r="Q60">
        <v>51.54</v>
      </c>
      <c r="R60">
        <v>186.33</v>
      </c>
      <c r="S60">
        <v>261.63</v>
      </c>
      <c r="T60">
        <v>88.4</v>
      </c>
      <c r="U60">
        <v>405.2</v>
      </c>
      <c r="V60">
        <v>304.51</v>
      </c>
    </row>
    <row r="61" spans="1:22" x14ac:dyDescent="0.2">
      <c r="A61" t="s">
        <v>60</v>
      </c>
      <c r="B61">
        <v>5705.45</v>
      </c>
      <c r="C61">
        <v>225.41399999999999</v>
      </c>
      <c r="D61">
        <v>405.53800000000001</v>
      </c>
      <c r="E61">
        <v>170.91399999999999</v>
      </c>
      <c r="F61">
        <v>132.751</v>
      </c>
      <c r="G61">
        <v>567.58000000000004</v>
      </c>
      <c r="H61">
        <v>159.86000000000001</v>
      </c>
      <c r="I61">
        <v>28.3</v>
      </c>
      <c r="J61">
        <v>556.00300000000004</v>
      </c>
      <c r="K61">
        <v>101.50700000000001</v>
      </c>
      <c r="L61">
        <v>203.87</v>
      </c>
      <c r="M61">
        <v>116.78</v>
      </c>
      <c r="N61">
        <v>148.82</v>
      </c>
      <c r="O61">
        <v>109.54</v>
      </c>
      <c r="P61">
        <v>40.07</v>
      </c>
      <c r="Q61">
        <v>50.11</v>
      </c>
      <c r="R61">
        <v>186.4</v>
      </c>
      <c r="S61">
        <v>249.85</v>
      </c>
      <c r="T61">
        <v>77.13</v>
      </c>
      <c r="U61">
        <v>393.75</v>
      </c>
      <c r="V61">
        <v>292.11</v>
      </c>
    </row>
    <row r="62" spans="1:22" x14ac:dyDescent="0.2">
      <c r="A62" t="s">
        <v>61</v>
      </c>
      <c r="B62">
        <v>6032.38</v>
      </c>
      <c r="C62">
        <v>237.06899999999999</v>
      </c>
      <c r="D62">
        <v>423.46</v>
      </c>
      <c r="E62">
        <v>168.75700000000001</v>
      </c>
      <c r="F62">
        <v>138.24</v>
      </c>
      <c r="G62">
        <v>574.32000000000005</v>
      </c>
      <c r="H62">
        <v>155.01</v>
      </c>
      <c r="I62">
        <v>26.21</v>
      </c>
      <c r="J62">
        <v>601.01599999999996</v>
      </c>
      <c r="K62">
        <v>100.833</v>
      </c>
      <c r="L62">
        <v>182.93</v>
      </c>
      <c r="M62">
        <v>117.96</v>
      </c>
      <c r="N62">
        <v>161.93</v>
      </c>
      <c r="O62">
        <v>108.34</v>
      </c>
      <c r="P62">
        <v>43.94</v>
      </c>
      <c r="Q62">
        <v>50.58</v>
      </c>
      <c r="R62">
        <v>207.89</v>
      </c>
      <c r="S62">
        <v>345.16</v>
      </c>
      <c r="T62">
        <v>78.77</v>
      </c>
      <c r="U62">
        <v>429.13</v>
      </c>
      <c r="V62">
        <v>296.01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3D5F7-E9A9-F245-B07C-9C93EBB75318}">
  <dimension ref="A1:V62"/>
  <sheetViews>
    <sheetView topLeftCell="A6" workbookViewId="0">
      <selection activeCell="H67" sqref="H67"/>
    </sheetView>
  </sheetViews>
  <sheetFormatPr baseColWidth="10" defaultRowHeight="16" x14ac:dyDescent="0.2"/>
  <sheetData>
    <row r="1" spans="1:22" x14ac:dyDescent="0.2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</row>
    <row r="2" spans="1:22" x14ac:dyDescent="0.2">
      <c r="A2" t="s">
        <v>1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  <c r="O2" t="s">
        <v>83</v>
      </c>
      <c r="P2" t="s">
        <v>83</v>
      </c>
      <c r="Q2" t="s">
        <v>83</v>
      </c>
      <c r="R2" t="s">
        <v>83</v>
      </c>
      <c r="S2" t="s">
        <v>83</v>
      </c>
      <c r="T2" t="s">
        <v>83</v>
      </c>
      <c r="U2" t="s">
        <v>83</v>
      </c>
      <c r="V2" t="s">
        <v>83</v>
      </c>
    </row>
    <row r="3" spans="1:22" x14ac:dyDescent="0.2">
      <c r="A3" t="s">
        <v>2</v>
      </c>
      <c r="B3">
        <f>(Prices!B3 / Prices!B2) - 1</f>
        <v>2.8589803182446305E-2</v>
      </c>
      <c r="C3">
        <f>(Prices!C3 / Prices!C2) - 1</f>
        <v>9.8732976007220641E-2</v>
      </c>
      <c r="D3">
        <f>(Prices!D3 / Prices!D2) - 1</f>
        <v>4.1564809060147923E-2</v>
      </c>
      <c r="E3">
        <f>(Prices!E3 / Prices!E2) - 1</f>
        <v>2.7069874970947483E-2</v>
      </c>
      <c r="F3">
        <f>(Prices!F3 / Prices!F2) - 1</f>
        <v>8.5597906659550471E-2</v>
      </c>
      <c r="G3">
        <f>(Prices!G3 / Prices!G2) - 1</f>
        <v>1.7903193810751894E-2</v>
      </c>
      <c r="H3">
        <f>(Prices!H3 / Prices!H2) - 1</f>
        <v>6.0886174452331021E-2</v>
      </c>
      <c r="I3">
        <f>(Prices!I3 / Prices!I2) - 1</f>
        <v>1.7144762208467945E-2</v>
      </c>
      <c r="J3">
        <f>(Prices!J3 / Prices!J2) - 1</f>
        <v>5.4441104126810691E-2</v>
      </c>
      <c r="K3">
        <f>(Prices!K3 / Prices!K2) - 1</f>
        <v>5.0393361643706447E-2</v>
      </c>
      <c r="L3">
        <f>(Prices!L3 / Prices!L2) - 1</f>
        <v>9.2352587535871056E-3</v>
      </c>
      <c r="M3">
        <f>(Prices!M3 / Prices!M2) - 1</f>
        <v>2.4257043848800786E-2</v>
      </c>
      <c r="N3">
        <f>(Prices!N3 / Prices!N2) - 1</f>
        <v>2.8869893668296287E-2</v>
      </c>
      <c r="O3">
        <f>(Prices!O3 / Prices!O2) - 1</f>
        <v>8.4929532619442583E-2</v>
      </c>
      <c r="P3">
        <f>(Prices!P3 / Prices!P2) - 1</f>
        <v>0.12601191705347703</v>
      </c>
      <c r="Q3">
        <f>(Prices!Q3 / Prices!Q2) - 1</f>
        <v>9.0528871354870644E-2</v>
      </c>
      <c r="R3">
        <f>(Prices!R3 / Prices!R2) - 1</f>
        <v>2.6121723678365072E-2</v>
      </c>
      <c r="S3">
        <f>(Prices!S3 / Prices!S2) - 1</f>
        <v>0.26789870885615574</v>
      </c>
      <c r="T3">
        <f>(Prices!T3 / Prices!T2) - 1</f>
        <v>8.3847195893790971E-2</v>
      </c>
      <c r="U3">
        <f>(Prices!U3 / Prices!U2) - 1</f>
        <v>-3.3099955019264549E-3</v>
      </c>
      <c r="V3">
        <f>(Prices!V3 / Prices!V2) - 1</f>
        <v>1.6216335394825254E-2</v>
      </c>
    </row>
    <row r="4" spans="1:22" x14ac:dyDescent="0.2">
      <c r="A4" t="s">
        <v>3</v>
      </c>
      <c r="B4">
        <f>(Prices!B4 / Prices!B3) - 1</f>
        <v>-1.6280898111292741E-3</v>
      </c>
      <c r="C4">
        <f>(Prices!C4 / Prices!C3) - 1</f>
        <v>5.4103818902788037E-2</v>
      </c>
      <c r="D4">
        <f>(Prices!D4 / Prices!D3) - 1</f>
        <v>7.9520516611526926E-2</v>
      </c>
      <c r="E4">
        <f>(Prices!E4 / Prices!E3) - 1</f>
        <v>6.9726769732464611E-2</v>
      </c>
      <c r="F4">
        <f>(Prices!F4 / Prices!F3) - 1</f>
        <v>4.786567566737121E-3</v>
      </c>
      <c r="G4">
        <f>(Prices!G4 / Prices!G3) - 1</f>
        <v>-1.6272838002436063E-2</v>
      </c>
      <c r="H4">
        <f>(Prices!H4 / Prices!H3) - 1</f>
        <v>2.0567990694021265E-2</v>
      </c>
      <c r="I4">
        <f>(Prices!I4 / Prices!I3) - 1</f>
        <v>-3.980231374996801E-2</v>
      </c>
      <c r="J4">
        <f>(Prices!J4 / Prices!J3) - 1</f>
        <v>-7.3220672852625568E-2</v>
      </c>
      <c r="K4">
        <f>(Prices!K4 / Prices!K3) - 1</f>
        <v>-6.0583422497581418E-2</v>
      </c>
      <c r="L4">
        <f>(Prices!L4 / Prices!L3) - 1</f>
        <v>-7.2586945744401832E-2</v>
      </c>
      <c r="M4">
        <f>(Prices!M4 / Prices!M3) - 1</f>
        <v>-0.10976609465515363</v>
      </c>
      <c r="N4">
        <f>(Prices!N4 / Prices!N3) - 1</f>
        <v>-0.1108529799804967</v>
      </c>
      <c r="O4">
        <f>(Prices!O4 / Prices!O3) - 1</f>
        <v>-8.6126085307438593E-2</v>
      </c>
      <c r="P4">
        <f>(Prices!P4 / Prices!P3) - 1</f>
        <v>-0.16644828291902425</v>
      </c>
      <c r="Q4">
        <f>(Prices!Q4 / Prices!Q3) - 1</f>
        <v>-3.611327551836141E-2</v>
      </c>
      <c r="R4">
        <f>(Prices!R4 / Prices!R3) - 1</f>
        <v>8.7063815048922022E-2</v>
      </c>
      <c r="S4">
        <f>(Prices!S4 / Prices!S3) - 1</f>
        <v>0.55511013421206434</v>
      </c>
      <c r="T4">
        <f>(Prices!T4 / Prices!T3) - 1</f>
        <v>-4.9655729339448729E-2</v>
      </c>
      <c r="U4">
        <f>(Prices!U4 / Prices!U3) - 1</f>
        <v>4.4477692477496333E-2</v>
      </c>
      <c r="V4">
        <f>(Prices!V4 / Prices!V3) - 1</f>
        <v>8.268425506064081E-2</v>
      </c>
    </row>
    <row r="5" spans="1:22" x14ac:dyDescent="0.2">
      <c r="A5" t="s">
        <v>4</v>
      </c>
      <c r="B5">
        <f>(Prices!B5 / Prices!B4) - 1</f>
        <v>-8.4110469009648137E-2</v>
      </c>
      <c r="C5">
        <f>(Prices!C5 / Prices!C4) - 1</f>
        <v>-0.1147557828267326</v>
      </c>
      <c r="D5">
        <f>(Prices!D5 / Prices!D4) - 1</f>
        <v>-4.5724498381678358E-2</v>
      </c>
      <c r="E5">
        <f>(Prices!E5 / Prices!E4) - 1</f>
        <v>-6.5279916167345853E-2</v>
      </c>
      <c r="F5">
        <f>(Prices!F5 / Prices!F4) - 1</f>
        <v>0.14300980275564479</v>
      </c>
      <c r="G5">
        <f>(Prices!G5 / Prices!G4) - 1</f>
        <v>-4.6753504036451843E-2</v>
      </c>
      <c r="H5">
        <f>(Prices!H5 / Prices!H4) - 1</f>
        <v>-9.0915690815504213E-2</v>
      </c>
      <c r="I5">
        <f>(Prices!I5 / Prices!I4) - 1</f>
        <v>-0.10260497367124366</v>
      </c>
      <c r="J5">
        <f>(Prices!J5 / Prices!J4) - 1</f>
        <v>-6.4243165174451389E-2</v>
      </c>
      <c r="K5">
        <f>(Prices!K5 / Prices!K4) - 1</f>
        <v>-0.10392352642692282</v>
      </c>
      <c r="L5">
        <f>(Prices!L5 / Prices!L4) - 1</f>
        <v>5.7915749495876856E-2</v>
      </c>
      <c r="M5">
        <f>(Prices!M5 / Prices!M4) - 1</f>
        <v>-0.16003790785475303</v>
      </c>
      <c r="N5">
        <f>(Prices!N5 / Prices!N4) - 1</f>
        <v>-0.11868649398406506</v>
      </c>
      <c r="O5">
        <f>(Prices!O5 / Prices!O4) - 1</f>
        <v>-0.17948828701599673</v>
      </c>
      <c r="P5">
        <f>(Prices!P5 / Prices!P4) - 1</f>
        <v>-0.17963924839696066</v>
      </c>
      <c r="Q5">
        <f>(Prices!Q5 / Prices!Q4) - 1</f>
        <v>-0.17577012616499876</v>
      </c>
      <c r="R5">
        <f>(Prices!R5 / Prices!R4) - 1</f>
        <v>-6.2213748058465135E-2</v>
      </c>
      <c r="S5">
        <f>(Prices!S5 / Prices!S4) - 1</f>
        <v>2.6822688494350988E-2</v>
      </c>
      <c r="T5">
        <f>(Prices!T5 / Prices!T4) - 1</f>
        <v>-6.9315439050088523E-2</v>
      </c>
      <c r="U5">
        <f>(Prices!U5 / Prices!U4) - 1</f>
        <v>-4.4931946910136134E-2</v>
      </c>
      <c r="V5">
        <f>(Prices!V5 / Prices!V4) - 1</f>
        <v>-8.6815157709109858E-2</v>
      </c>
    </row>
    <row r="6" spans="1:22" x14ac:dyDescent="0.2">
      <c r="A6" t="s">
        <v>5</v>
      </c>
      <c r="B6">
        <f>(Prices!B6 / Prices!B5) - 1</f>
        <v>-0.12511932083595656</v>
      </c>
      <c r="C6">
        <f>(Prices!C6 / Prices!C5) - 1</f>
        <v>-6.977760827520918E-2</v>
      </c>
      <c r="D6">
        <f>(Prices!D6 / Prices!D5) - 1</f>
        <v>-2.6515980383323146E-2</v>
      </c>
      <c r="E6">
        <f>(Prices!E6 / Prices!E5) - 1</f>
        <v>-0.1323863994028831</v>
      </c>
      <c r="F6">
        <f>(Prices!F6 / Prices!F5) - 1</f>
        <v>-2.4000166471706552E-2</v>
      </c>
      <c r="G6">
        <f>(Prices!G6 / Prices!G5) - 1</f>
        <v>-0.13337143450927413</v>
      </c>
      <c r="H6">
        <f>(Prices!H6 / Prices!H5) - 1</f>
        <v>-2.4828302188148799E-2</v>
      </c>
      <c r="I6">
        <f>(Prices!I6 / Prices!I5) - 1</f>
        <v>-2.3372044177331186E-2</v>
      </c>
      <c r="J6">
        <f>(Prices!J6 / Prices!J5) - 1</f>
        <v>-1.7667225972273881E-2</v>
      </c>
      <c r="K6">
        <f>(Prices!K6 / Prices!K5) - 1</f>
        <v>1.3261727312581906E-2</v>
      </c>
      <c r="L6">
        <f>(Prices!L6 / Prices!L5) - 1</f>
        <v>-0.11107495562134084</v>
      </c>
      <c r="M6">
        <f>(Prices!M6 / Prices!M5) - 1</f>
        <v>-0.26189355977727125</v>
      </c>
      <c r="N6">
        <f>(Prices!N6 / Prices!N5) - 1</f>
        <v>-0.22370456586241894</v>
      </c>
      <c r="O6">
        <f>(Prices!O6 / Prices!O5) - 1</f>
        <v>-0.36389562176278456</v>
      </c>
      <c r="P6">
        <f>(Prices!P6 / Prices!P5) - 1</f>
        <v>-0.50200167907837256</v>
      </c>
      <c r="Q6">
        <f>(Prices!Q6 / Prices!Q5) - 1</f>
        <v>-0.63559303143877033</v>
      </c>
      <c r="R6">
        <f>(Prices!R6 / Prices!R5) - 1</f>
        <v>3.5020570670205808E-2</v>
      </c>
      <c r="S6">
        <f>(Prices!S6 / Prices!S5) - 1</f>
        <v>-0.21556902362950858</v>
      </c>
      <c r="T6">
        <f>(Prices!T6 / Prices!T5) - 1</f>
        <v>-7.4294385710959476E-2</v>
      </c>
      <c r="U6">
        <f>(Prices!U6 / Prices!U5) - 1</f>
        <v>-0.13715423766319979</v>
      </c>
      <c r="V6">
        <f>(Prices!V6 / Prices!V5) - 1</f>
        <v>-0.14843728569939485</v>
      </c>
    </row>
    <row r="7" spans="1:22" x14ac:dyDescent="0.2">
      <c r="A7" t="s">
        <v>6</v>
      </c>
      <c r="B7">
        <f>(Prices!B7 / Prices!B6) - 1</f>
        <v>0.12684410293315374</v>
      </c>
      <c r="C7">
        <f>(Prices!C7 / Prices!C6) - 1</f>
        <v>0.15540682882561696</v>
      </c>
      <c r="D7">
        <f>(Prices!D7 / Prices!D6) - 1</f>
        <v>0.13632336802020362</v>
      </c>
      <c r="E7">
        <f>(Prices!E7 / Prices!E6) - 1</f>
        <v>0.15899923472516631</v>
      </c>
      <c r="F7">
        <f>(Prices!F7 / Prices!F6) - 1</f>
        <v>0.10880238791423014</v>
      </c>
      <c r="G7">
        <f>(Prices!G7 / Prices!G6) - 1</f>
        <v>0.22727817745803347</v>
      </c>
      <c r="H7">
        <f>(Prices!H7 / Prices!H6) - 1</f>
        <v>0.14414753789584878</v>
      </c>
      <c r="I7">
        <f>(Prices!I7 / Prices!I6) - 1</f>
        <v>0.17531268945102796</v>
      </c>
      <c r="J7">
        <f>(Prices!J7 / Prices!J6) - 1</f>
        <v>0.17286086204423667</v>
      </c>
      <c r="K7">
        <f>(Prices!K7 / Prices!K6) - 1</f>
        <v>3.1186527251968021E-2</v>
      </c>
      <c r="L7">
        <f>(Prices!L7 / Prices!L6) - 1</f>
        <v>9.4964152959278181E-2</v>
      </c>
      <c r="M7">
        <f>(Prices!M7 / Prices!M6) - 1</f>
        <v>0.22388558485521726</v>
      </c>
      <c r="N7">
        <f>(Prices!N7 / Prices!N6) - 1</f>
        <v>0.26966834252988803</v>
      </c>
      <c r="O7">
        <f>(Prices!O7 / Prices!O6) - 1</f>
        <v>0.36687763788990391</v>
      </c>
      <c r="P7">
        <f>(Prices!P7 / Prices!P6) - 1</f>
        <v>0.24678639162705762</v>
      </c>
      <c r="Q7">
        <f>(Prices!Q7 / Prices!Q6) - 1</f>
        <v>0.43346615634666796</v>
      </c>
      <c r="R7">
        <f>(Prices!R7 / Prices!R6) - 1</f>
        <v>0.26890014976509446</v>
      </c>
      <c r="S7">
        <f>(Prices!S7 / Prices!S6) - 1</f>
        <v>0.49217795055147939</v>
      </c>
      <c r="T7">
        <f>(Prices!T7 / Prices!T6) - 1</f>
        <v>5.3669071701255344E-2</v>
      </c>
      <c r="U7">
        <f>(Prices!U7 / Prices!U6) - 1</f>
        <v>0.17729562759312456</v>
      </c>
      <c r="V7">
        <f>(Prices!V7 / Prices!V6) - 1</f>
        <v>0.13432374276842185</v>
      </c>
    </row>
    <row r="8" spans="1:22" x14ac:dyDescent="0.2">
      <c r="A8" t="s">
        <v>7</v>
      </c>
      <c r="B8">
        <f>(Prices!B8 / Prices!B7) - 1</f>
        <v>4.528177501261843E-2</v>
      </c>
      <c r="C8">
        <f>(Prices!C8 / Prices!C7) - 1</f>
        <v>8.5104980434508093E-2</v>
      </c>
      <c r="D8">
        <f>(Prices!D8 / Prices!D7) - 1</f>
        <v>2.5390102281851012E-2</v>
      </c>
      <c r="E8">
        <f>(Prices!E8 / Prices!E7) - 1</f>
        <v>6.4468385108165105E-2</v>
      </c>
      <c r="F8">
        <f>(Prices!F8 / Prices!F7) - 1</f>
        <v>0.21466616489306167</v>
      </c>
      <c r="G8">
        <f>(Prices!G8 / Prices!G7) - 1</f>
        <v>9.9555468711836292E-2</v>
      </c>
      <c r="H8">
        <f>(Prices!H8 / Prices!H7) - 1</f>
        <v>-1.6748620386075608E-3</v>
      </c>
      <c r="I8">
        <f>(Prices!I8 / Prices!I7) - 1</f>
        <v>5.4808889298723074E-3</v>
      </c>
      <c r="J8">
        <f>(Prices!J8 / Prices!J7) - 1</f>
        <v>4.2226693792546177E-2</v>
      </c>
      <c r="K8">
        <f>(Prices!K8 / Prices!K7) - 1</f>
        <v>1.7395130237660705E-2</v>
      </c>
      <c r="L8">
        <f>(Prices!L8 / Prices!L7) - 1</f>
        <v>0.12737823439878215</v>
      </c>
      <c r="M8">
        <f>(Prices!M8 / Prices!M7) - 1</f>
        <v>-2.5307942800508743E-3</v>
      </c>
      <c r="N8">
        <f>(Prices!N8 / Prices!N7) - 1</f>
        <v>1.1373032495086033E-2</v>
      </c>
      <c r="O8">
        <f>(Prices!O8 / Prices!O7) - 1</f>
        <v>1.1908898505859744E-2</v>
      </c>
      <c r="P8">
        <f>(Prices!P8 / Prices!P7) - 1</f>
        <v>9.813016832866972E-2</v>
      </c>
      <c r="Q8">
        <f>(Prices!Q8 / Prices!Q7) - 1</f>
        <v>-0.21979602908993368</v>
      </c>
      <c r="R8">
        <f>(Prices!R8 / Prices!R7) - 1</f>
        <v>-1.2789005658852104E-2</v>
      </c>
      <c r="S8">
        <f>(Prices!S8 / Prices!S7) - 1</f>
        <v>6.7911454206769362E-2</v>
      </c>
      <c r="T8">
        <f>(Prices!T8 / Prices!T7) - 1</f>
        <v>0.1335887512626841</v>
      </c>
      <c r="U8">
        <f>(Prices!U8 / Prices!U7) - 1</f>
        <v>0.13035585483097978</v>
      </c>
      <c r="V8">
        <f>(Prices!V8 / Prices!V7) - 1</f>
        <v>0</v>
      </c>
    </row>
    <row r="9" spans="1:22" x14ac:dyDescent="0.2">
      <c r="A9" t="s">
        <v>8</v>
      </c>
      <c r="B9">
        <f>(Prices!B9 / Prices!B8) - 1</f>
        <v>1.8388403283502663E-2</v>
      </c>
      <c r="C9">
        <f>(Prices!C9 / Prices!C8) - 1</f>
        <v>0.14735242073806765</v>
      </c>
      <c r="D9">
        <f>(Prices!D9 / Prices!D8) - 1</f>
        <v>0.11051281760306852</v>
      </c>
      <c r="E9">
        <f>(Prices!E9 / Prices!E8) - 1</f>
        <v>-1.0792933345095346E-2</v>
      </c>
      <c r="F9">
        <f>(Prices!F9 / Prices!F8) - 1</f>
        <v>7.0602083495876711E-2</v>
      </c>
      <c r="G9">
        <f>(Prices!G9 / Prices!G8) - 1</f>
        <v>8.7964814074370512E-3</v>
      </c>
      <c r="H9">
        <f>(Prices!H9 / Prices!H8) - 1</f>
        <v>-5.4567354225367404E-2</v>
      </c>
      <c r="I9">
        <f>(Prices!I9 / Prices!I8) - 1</f>
        <v>-0.14378693476553772</v>
      </c>
      <c r="J9">
        <f>(Prices!J9 / Prices!J8) - 1</f>
        <v>-2.8217089543747798E-2</v>
      </c>
      <c r="K9">
        <f>(Prices!K9 / Prices!K8) - 1</f>
        <v>-3.4368694860232529E-2</v>
      </c>
      <c r="L9">
        <f>(Prices!L9 / Prices!L8) - 1</f>
        <v>5.9454898320816962E-2</v>
      </c>
      <c r="M9">
        <f>(Prices!M9 / Prices!M8) - 1</f>
        <v>-1.6493167767985484E-2</v>
      </c>
      <c r="N9">
        <f>(Prices!N9 / Prices!N8) - 1</f>
        <v>-2.6944033759901287E-2</v>
      </c>
      <c r="O9">
        <f>(Prices!O9 / Prices!O8) - 1</f>
        <v>-3.7486212565815968E-3</v>
      </c>
      <c r="P9">
        <f>(Prices!P9 / Prices!P8) - 1</f>
        <v>2.4227153793972001E-3</v>
      </c>
      <c r="Q9">
        <f>(Prices!Q9 / Prices!Q8) - 1</f>
        <v>0.41390141186214224</v>
      </c>
      <c r="R9">
        <f>(Prices!R9 / Prices!R8) - 1</f>
        <v>0.12957139815588214</v>
      </c>
      <c r="S9">
        <f>(Prices!S9 / Prices!S8) - 1</f>
        <v>0.29317347714163056</v>
      </c>
      <c r="T9">
        <f>(Prices!T9 / Prices!T8) - 1</f>
        <v>-5.3798298911480469E-3</v>
      </c>
      <c r="U9">
        <f>(Prices!U9 / Prices!U8) - 1</f>
        <v>1.4244050346679415E-2</v>
      </c>
      <c r="V9">
        <f>(Prices!V9 / Prices!V8) - 1</f>
        <v>-9.8880003634876923E-3</v>
      </c>
    </row>
    <row r="10" spans="1:22" x14ac:dyDescent="0.2">
      <c r="A10" t="s">
        <v>9</v>
      </c>
      <c r="B10">
        <f>(Prices!B10 / Prices!B9) - 1</f>
        <v>5.5101296975444303E-2</v>
      </c>
      <c r="C10">
        <f>(Prices!C10 / Prices!C9) - 1</f>
        <v>0.16525154026660793</v>
      </c>
      <c r="D10">
        <f>(Prices!D10 / Prices!D9) - 1</f>
        <v>7.4290181331400085E-3</v>
      </c>
      <c r="E10">
        <f>(Prices!E10 / Prices!E9) - 1</f>
        <v>4.9293452027919349E-2</v>
      </c>
      <c r="F10">
        <f>(Prices!F10 / Prices!F9) - 1</f>
        <v>0.11756430486112435</v>
      </c>
      <c r="G10">
        <f>(Prices!G10 / Prices!G9) - 1</f>
        <v>0.11714449288765572</v>
      </c>
      <c r="H10">
        <f>(Prices!H10 / Prices!H9) - 1</f>
        <v>3.6445536445536497E-2</v>
      </c>
      <c r="I10">
        <f>(Prices!I10 / Prices!I9) - 1</f>
        <v>0.18825458988134081</v>
      </c>
      <c r="J10">
        <f>(Prices!J10 / Prices!J9) - 1</f>
        <v>2.6574025289778591E-2</v>
      </c>
      <c r="K10">
        <f>(Prices!K10 / Prices!K9) - 1</f>
        <v>3.7623565630292122E-2</v>
      </c>
      <c r="L10">
        <f>(Prices!L10 / Prices!L9) - 1</f>
        <v>-2.1503210860947641E-2</v>
      </c>
      <c r="M10">
        <f>(Prices!M10 / Prices!M9) - 1</f>
        <v>-5.9022730787072764E-2</v>
      </c>
      <c r="N10">
        <f>(Prices!N10 / Prices!N9) - 1</f>
        <v>-5.929068522820613E-2</v>
      </c>
      <c r="O10">
        <f>(Prices!O10 / Prices!O9) - 1</f>
        <v>-0.10113926265187345</v>
      </c>
      <c r="P10">
        <f>(Prices!P10 / Prices!P9) - 1</f>
        <v>-1.3545789545516773E-2</v>
      </c>
      <c r="Q10">
        <f>(Prices!Q10 / Prices!Q9) - 1</f>
        <v>-0.13979807803891442</v>
      </c>
      <c r="R10">
        <f>(Prices!R10 / Prices!R9) - 1</f>
        <v>0.14711362104087988</v>
      </c>
      <c r="S10">
        <f>(Prices!S10 / Prices!S9) - 1</f>
        <v>0.32501281486719091</v>
      </c>
      <c r="T10">
        <f>(Prices!T10 / Prices!T9) - 1</f>
        <v>-4.4890147426169813E-3</v>
      </c>
      <c r="U10">
        <f>(Prices!U10 / Prices!U9) - 1</f>
        <v>5.9798924953658128E-2</v>
      </c>
      <c r="V10">
        <f>(Prices!V10 / Prices!V9) - 1</f>
        <v>5.3203388955492814E-2</v>
      </c>
    </row>
    <row r="11" spans="1:22" x14ac:dyDescent="0.2">
      <c r="A11" t="s">
        <v>10</v>
      </c>
      <c r="B11">
        <f>(Prices!B11 / Prices!B10) - 1</f>
        <v>7.0064687324219221E-2</v>
      </c>
      <c r="C11">
        <f>(Prices!C11 / Prices!C10) - 1</f>
        <v>0.21649135697436073</v>
      </c>
      <c r="D11">
        <f>(Prices!D11 / Prices!D10) - 1</f>
        <v>0.10269154498841115</v>
      </c>
      <c r="E11">
        <f>(Prices!E11 / Prices!E10) - 1</f>
        <v>9.5153429103707499E-2</v>
      </c>
      <c r="F11">
        <f>(Prices!F11 / Prices!F10) - 1</f>
        <v>0.26006256320111887</v>
      </c>
      <c r="G11">
        <f>(Prices!G11 / Prices!G10) - 1</f>
        <v>0.15583238065202831</v>
      </c>
      <c r="H11">
        <f>(Prices!H11 / Prices!H10) - 1</f>
        <v>5.9477296340196384E-2</v>
      </c>
      <c r="I11">
        <f>(Prices!I11 / Prices!I10) - 1</f>
        <v>-1.7924095133198259E-2</v>
      </c>
      <c r="J11">
        <f>(Prices!J11 / Prices!J10) - 1</f>
        <v>3.2194600374231497E-2</v>
      </c>
      <c r="K11">
        <f>(Prices!K11 / Prices!K10) - 1</f>
        <v>6.2663192841595716E-2</v>
      </c>
      <c r="L11">
        <f>(Prices!L11 / Prices!L10) - 1</f>
        <v>9.0547248640395761E-3</v>
      </c>
      <c r="M11">
        <f>(Prices!M11 / Prices!M10) - 1</f>
        <v>-3.2175899298308996E-2</v>
      </c>
      <c r="N11">
        <f>(Prices!N11 / Prices!N10) - 1</f>
        <v>1.4306534208661459E-2</v>
      </c>
      <c r="O11">
        <f>(Prices!O11 / Prices!O10) - 1</f>
        <v>1.3394958080840347E-2</v>
      </c>
      <c r="P11">
        <f>(Prices!P11 / Prices!P10) - 1</f>
        <v>4.7922935906748343E-2</v>
      </c>
      <c r="Q11">
        <f>(Prices!Q11 / Prices!Q10) - 1</f>
        <v>-0.1906361820085698</v>
      </c>
      <c r="R11">
        <f>(Prices!R11 / Prices!R10) - 1</f>
        <v>9.0460962877763285E-2</v>
      </c>
      <c r="S11">
        <f>(Prices!S11 / Prices!S10) - 1</f>
        <v>0.74146837024929924</v>
      </c>
      <c r="T11">
        <f>(Prices!T11 / Prices!T10) - 1</f>
        <v>0.14893853308761518</v>
      </c>
      <c r="U11">
        <f>(Prices!U11 / Prices!U10) - 1</f>
        <v>7.3545055759415723E-2</v>
      </c>
      <c r="V11">
        <f>(Prices!V11 / Prices!V10) - 1</f>
        <v>0.10542683790290086</v>
      </c>
    </row>
    <row r="12" spans="1:22" x14ac:dyDescent="0.2">
      <c r="A12" t="s">
        <v>11</v>
      </c>
      <c r="B12">
        <f>(Prices!B12 / Prices!B11) - 1</f>
        <v>-3.9227954095494399E-2</v>
      </c>
      <c r="C12">
        <f>(Prices!C12 / Prices!C11) - 1</f>
        <v>-0.10260750701348642</v>
      </c>
      <c r="D12">
        <f>(Prices!D12 / Prices!D11) - 1</f>
        <v>-6.7334802066037702E-2</v>
      </c>
      <c r="E12">
        <f>(Prices!E12 / Prices!E11) - 1</f>
        <v>-0.10060074671449326</v>
      </c>
      <c r="F12">
        <f>(Prices!F12 / Prices!F11) - 1</f>
        <v>1.1977709609918286E-2</v>
      </c>
      <c r="G12">
        <f>(Prices!G12 / Prices!G11) - 1</f>
        <v>-0.10675306957708053</v>
      </c>
      <c r="H12">
        <f>(Prices!H12 / Prices!H11) - 1</f>
        <v>-2.952286900133283E-2</v>
      </c>
      <c r="I12">
        <f>(Prices!I12 / Prices!I11) - 1</f>
        <v>-2.8832529242701521E-2</v>
      </c>
      <c r="J12">
        <f>(Prices!J12 / Prices!J11) - 1</f>
        <v>1.6436010054969863E-3</v>
      </c>
      <c r="K12">
        <f>(Prices!K12 / Prices!K11) - 1</f>
        <v>-2.0102077183261624E-2</v>
      </c>
      <c r="L12">
        <f>(Prices!L12 / Prices!L11) - 1</f>
        <v>-8.5419115444006599E-2</v>
      </c>
      <c r="M12">
        <f>(Prices!M12 / Prices!M11) - 1</f>
        <v>-0.14041090075558205</v>
      </c>
      <c r="N12">
        <f>(Prices!N12 / Prices!N11) - 1</f>
        <v>-0.14215077576093127</v>
      </c>
      <c r="O12">
        <f>(Prices!O12 / Prices!O11) - 1</f>
        <v>-0.13327695681463125</v>
      </c>
      <c r="P12">
        <f>(Prices!P12 / Prices!P11) - 1</f>
        <v>-0.17601043024771845</v>
      </c>
      <c r="Q12">
        <f>(Prices!Q12 / Prices!Q11) - 1</f>
        <v>-0.21350049211035971</v>
      </c>
      <c r="R12">
        <f>(Prices!R12 / Prices!R11) - 1</f>
        <v>-8.7581426617520886E-2</v>
      </c>
      <c r="S12">
        <f>(Prices!S12 / Prices!S11) - 1</f>
        <v>-0.13909106780569158</v>
      </c>
      <c r="T12">
        <f>(Prices!T12 / Prices!T11) - 1</f>
        <v>0.12197257076159906</v>
      </c>
      <c r="U12">
        <f>(Prices!U12 / Prices!U11) - 1</f>
        <v>-2.0541996971586207E-2</v>
      </c>
      <c r="V12">
        <f>(Prices!V12 / Prices!V11) - 1</f>
        <v>2.7960761321029093E-2</v>
      </c>
    </row>
    <row r="13" spans="1:22" x14ac:dyDescent="0.2">
      <c r="A13" t="s">
        <v>12</v>
      </c>
      <c r="B13">
        <f>(Prices!B13 / Prices!B12) - 1</f>
        <v>-2.7665774606006499E-2</v>
      </c>
      <c r="C13">
        <f>(Prices!C13 / Prices!C12) - 1</f>
        <v>-5.9946155617350727E-2</v>
      </c>
      <c r="D13">
        <f>(Prices!D13 / Prices!D12) - 1</f>
        <v>-3.7330913645755692E-2</v>
      </c>
      <c r="E13">
        <f>(Prices!E13 / Prices!E12) - 1</f>
        <v>0.10269491462748226</v>
      </c>
      <c r="F13">
        <f>(Prices!F13 / Prices!F12) - 1</f>
        <v>-7.3698565160678298E-2</v>
      </c>
      <c r="G13">
        <f>(Prices!G13 / Prices!G12) - 1</f>
        <v>4.6200840015273581E-3</v>
      </c>
      <c r="H13">
        <f>(Prices!H13 / Prices!H12) - 1</f>
        <v>-7.9066093589889475E-2</v>
      </c>
      <c r="I13">
        <f>(Prices!I13 / Prices!I12) - 1</f>
        <v>-3.3232717628225994E-2</v>
      </c>
      <c r="J13">
        <f>(Prices!J13 / Prices!J12) - 1</f>
        <v>-2.1283490299361496E-2</v>
      </c>
      <c r="K13">
        <f>(Prices!K13 / Prices!K12) - 1</f>
        <v>-9.3308061399270947E-2</v>
      </c>
      <c r="L13">
        <f>(Prices!L13 / Prices!L12) - 1</f>
        <v>-1.5174099577272337E-2</v>
      </c>
      <c r="M13">
        <f>(Prices!M13 / Prices!M12) - 1</f>
        <v>-4.9816791932919102E-2</v>
      </c>
      <c r="N13">
        <f>(Prices!N13 / Prices!N12) - 1</f>
        <v>-3.4726394610716693E-2</v>
      </c>
      <c r="O13">
        <f>(Prices!O13 / Prices!O12) - 1</f>
        <v>-0.1178130126475101</v>
      </c>
      <c r="P13">
        <f>(Prices!P13 / Prices!P12) - 1</f>
        <v>-3.9857394648293631E-2</v>
      </c>
      <c r="Q13">
        <f>(Prices!Q13 / Prices!Q12) - 1</f>
        <v>-8.8022444355860152E-2</v>
      </c>
      <c r="R13">
        <f>(Prices!R13 / Prices!R12) - 1</f>
        <v>-3.5747859447648689E-2</v>
      </c>
      <c r="S13">
        <f>(Prices!S13 / Prices!S12) - 1</f>
        <v>-9.5494500115382075E-2</v>
      </c>
      <c r="T13">
        <f>(Prices!T13 / Prices!T12) - 1</f>
        <v>-4.3506176853056022E-2</v>
      </c>
      <c r="U13">
        <f>(Prices!U13 / Prices!U12) - 1</f>
        <v>-3.9638062543338237E-2</v>
      </c>
      <c r="V13">
        <f>(Prices!V13 / Prices!V12) - 1</f>
        <v>-2.9606303741408491E-2</v>
      </c>
    </row>
    <row r="14" spans="1:22" x14ac:dyDescent="0.2">
      <c r="A14" t="s">
        <v>13</v>
      </c>
      <c r="B14">
        <f>(Prices!B14 / Prices!B13) - 1</f>
        <v>0.10754565805086314</v>
      </c>
      <c r="C14">
        <f>(Prices!C14 / Prices!C13) - 1</f>
        <v>9.5535520824501452E-2</v>
      </c>
      <c r="D14">
        <f>(Prices!D14 / Prices!D13) - 1</f>
        <v>5.9986373718694086E-2</v>
      </c>
      <c r="E14">
        <f>(Prices!E14 / Prices!E13) - 1</f>
        <v>8.5569394487390982E-2</v>
      </c>
      <c r="F14">
        <f>(Prices!F14 / Prices!F13) - 1</f>
        <v>6.9264865902835648E-2</v>
      </c>
      <c r="G14">
        <f>(Prices!G14 / Prices!G13) - 1</f>
        <v>5.2677587320892449E-2</v>
      </c>
      <c r="H14">
        <f>(Prices!H14 / Prices!H13) - 1</f>
        <v>6.2588377106562509E-2</v>
      </c>
      <c r="I14">
        <f>(Prices!I14 / Prices!I13) - 1</f>
        <v>9.0874652491369723E-2</v>
      </c>
      <c r="J14">
        <f>(Prices!J14 / Prices!J13) - 1</f>
        <v>0.10222253531048575</v>
      </c>
      <c r="K14">
        <f>(Prices!K14 / Prices!K13) - 1</f>
        <v>6.8850161135776355E-2</v>
      </c>
      <c r="L14">
        <f>(Prices!L14 / Prices!L13) - 1</f>
        <v>0.2288462817868715</v>
      </c>
      <c r="M14">
        <f>(Prices!M14 / Prices!M13) - 1</f>
        <v>0.19708198641124519</v>
      </c>
      <c r="N14">
        <f>(Prices!N14 / Prices!N13) - 1</f>
        <v>0.2728559284529446</v>
      </c>
      <c r="O14">
        <f>(Prices!O14 / Prices!O13) - 1</f>
        <v>0.38223528573731569</v>
      </c>
      <c r="P14">
        <f>(Prices!P14 / Prices!P13) - 1</f>
        <v>0.39154741541157323</v>
      </c>
      <c r="Q14">
        <f>(Prices!Q14 / Prices!Q13) - 1</f>
        <v>0.72639690861970152</v>
      </c>
      <c r="R14">
        <f>(Prices!R14 / Prices!R13) - 1</f>
        <v>4.3436446037099508E-2</v>
      </c>
      <c r="S14">
        <f>(Prices!S14 / Prices!S13) - 1</f>
        <v>0.46273203089364245</v>
      </c>
      <c r="T14">
        <f>(Prices!T14 / Prices!T13) - 1</f>
        <v>0.12175516412178067</v>
      </c>
      <c r="U14">
        <f>(Prices!U14 / Prices!U13) - 1</f>
        <v>4.0149614128118793E-2</v>
      </c>
      <c r="V14">
        <f>(Prices!V14 / Prices!V13) - 1</f>
        <v>2.6913825378714895E-2</v>
      </c>
    </row>
    <row r="15" spans="1:22" x14ac:dyDescent="0.2">
      <c r="A15" t="s">
        <v>14</v>
      </c>
      <c r="B15">
        <f>(Prices!B15 / Prices!B14) - 1</f>
        <v>3.712140665943231E-2</v>
      </c>
      <c r="C15">
        <f>(Prices!C15 / Prices!C14) - 1</f>
        <v>0.11456703069911423</v>
      </c>
      <c r="D15">
        <f>(Prices!D15 / Prices!D14) - 1</f>
        <v>3.9043886314100495E-2</v>
      </c>
      <c r="E15">
        <f>(Prices!E15 / Prices!E14) - 1</f>
        <v>-1.0033969046864266E-3</v>
      </c>
      <c r="F15">
        <f>(Prices!F15 / Prices!F14) - 1</f>
        <v>-2.5628362553408057E-2</v>
      </c>
      <c r="G15">
        <f>(Prices!G15 / Prices!G14) - 1</f>
        <v>-1.3756002455139527E-2</v>
      </c>
      <c r="H15">
        <f>(Prices!H15 / Prices!H14) - 1</f>
        <v>8.7647345419111788E-2</v>
      </c>
      <c r="I15">
        <f>(Prices!I15 / Prices!I14) - 1</f>
        <v>-3.914012703178027E-2</v>
      </c>
      <c r="J15">
        <f>(Prices!J15 / Prices!J14) - 1</f>
        <v>4.6403052420334046E-2</v>
      </c>
      <c r="K15">
        <f>(Prices!K15 / Prices!K14) - 1</f>
        <v>2.5586773675944308E-2</v>
      </c>
      <c r="L15">
        <f>(Prices!L15 / Prices!L14) - 1</f>
        <v>2.4680342453416548E-2</v>
      </c>
      <c r="M15">
        <f>(Prices!M15 / Prices!M14) - 1</f>
        <v>8.1035475813523883E-2</v>
      </c>
      <c r="N15">
        <f>(Prices!N15 / Prices!N14) - 1</f>
        <v>-3.130162899040112E-2</v>
      </c>
      <c r="O15">
        <f>(Prices!O15 / Prices!O14) - 1</f>
        <v>1.0903616908743308E-2</v>
      </c>
      <c r="P15">
        <f>(Prices!P15 / Prices!P14) - 1</f>
        <v>5.6305090843676853E-2</v>
      </c>
      <c r="Q15">
        <f>(Prices!Q15 / Prices!Q14) - 1</f>
        <v>9.876930965963715E-2</v>
      </c>
      <c r="R15">
        <f>(Prices!R15 / Prices!R14) - 1</f>
        <v>2.8055201323215817E-2</v>
      </c>
      <c r="S15">
        <f>(Prices!S15 / Prices!S14) - 1</f>
        <v>0.24325052854122631</v>
      </c>
      <c r="T15">
        <f>(Prices!T15 / Prices!T14) - 1</f>
        <v>5.235729002545142E-2</v>
      </c>
      <c r="U15">
        <f>(Prices!U15 / Prices!U14) - 1</f>
        <v>-3.7294976254419132E-2</v>
      </c>
      <c r="V15">
        <f>(Prices!V15 / Prices!V14) - 1</f>
        <v>-1.3106632677600816E-2</v>
      </c>
    </row>
    <row r="16" spans="1:22" x14ac:dyDescent="0.2">
      <c r="A16" t="s">
        <v>15</v>
      </c>
      <c r="B16">
        <f>(Prices!B16 / Prices!B15) - 1</f>
        <v>-1.1136640158463607E-2</v>
      </c>
      <c r="C16">
        <f>(Prices!C16 / Prices!C15) - 1</f>
        <v>-5.5472830657418148E-3</v>
      </c>
      <c r="D16">
        <f>(Prices!D16 / Prices!D15) - 1</f>
        <v>4.2930232558139547E-2</v>
      </c>
      <c r="E16">
        <f>(Prices!E16 / Prices!E15) - 1</f>
        <v>4.2635090717101587E-2</v>
      </c>
      <c r="F16">
        <f>(Prices!F16 / Prices!F15) - 1</f>
        <v>-4.9840265405173279E-3</v>
      </c>
      <c r="G16">
        <f>(Prices!G16 / Prices!G15) - 1</f>
        <v>-5.429052569922399E-2</v>
      </c>
      <c r="H16">
        <f>(Prices!H16 / Prices!H15) - 1</f>
        <v>3.6638363308150179E-2</v>
      </c>
      <c r="I16">
        <f>(Prices!I16 / Prices!I15) - 1</f>
        <v>-1.4135820460507098E-2</v>
      </c>
      <c r="J16">
        <f>(Prices!J16 / Prices!J15) - 1</f>
        <v>-4.8718442035956211E-2</v>
      </c>
      <c r="K16">
        <f>(Prices!K16 / Prices!K15) - 1</f>
        <v>-5.7836928693932643E-2</v>
      </c>
      <c r="L16">
        <f>(Prices!L16 / Prices!L15) - 1</f>
        <v>-3.2485729323522117E-2</v>
      </c>
      <c r="M16">
        <f>(Prices!M16 / Prices!M15) - 1</f>
        <v>8.7823058037327817E-2</v>
      </c>
      <c r="N16">
        <f>(Prices!N16 / Prices!N15) - 1</f>
        <v>8.8645363031552016E-3</v>
      </c>
      <c r="O16">
        <f>(Prices!O16 / Prices!O15) - 1</f>
        <v>1.008840772192654E-3</v>
      </c>
      <c r="P16">
        <f>(Prices!P16 / Prices!P15) - 1</f>
        <v>1.7484105358764879E-2</v>
      </c>
      <c r="Q16">
        <f>(Prices!Q16 / Prices!Q15) - 1</f>
        <v>0.15883886850349138</v>
      </c>
      <c r="R16">
        <f>(Prices!R16 / Prices!R15) - 1</f>
        <v>-1.5572995345295548E-2</v>
      </c>
      <c r="S16">
        <f>(Prices!S16 / Prices!S15) - 1</f>
        <v>0.1245073823563172</v>
      </c>
      <c r="T16">
        <f>(Prices!T16 / Prices!T15) - 1</f>
        <v>-5.5755499251410878E-2</v>
      </c>
      <c r="U16">
        <f>(Prices!U16 / Prices!U15) - 1</f>
        <v>1.9598417626755404E-2</v>
      </c>
      <c r="V16">
        <f>(Prices!V16 / Prices!V15) - 1</f>
        <v>-3.1396057216658169E-2</v>
      </c>
    </row>
    <row r="17" spans="1:22" x14ac:dyDescent="0.2">
      <c r="A17" t="s">
        <v>16</v>
      </c>
      <c r="B17">
        <f>(Prices!B17 / Prices!B16) - 1</f>
        <v>2.6091474971999817E-2</v>
      </c>
      <c r="C17">
        <f>(Prices!C17 / Prices!C16) - 1</f>
        <v>-7.9739941347153565E-2</v>
      </c>
      <c r="D17">
        <f>(Prices!D17 / Prices!D16) - 1</f>
        <v>4.0404941354859059E-3</v>
      </c>
      <c r="E17">
        <f>(Prices!E17 / Prices!E16) - 1</f>
        <v>0.10647080727739255</v>
      </c>
      <c r="F17">
        <f>(Prices!F17 / Prices!F16) - 1</f>
        <v>5.5878425833738588E-2</v>
      </c>
      <c r="G17">
        <f>(Prices!G17 / Prices!G16) - 1</f>
        <v>-2.7484225602910639E-3</v>
      </c>
      <c r="H17">
        <f>(Prices!H17 / Prices!H16) - 1</f>
        <v>-2.2573363431151239E-2</v>
      </c>
      <c r="I17">
        <f>(Prices!I17 / Prices!I16) - 1</f>
        <v>-6.713377679231336E-2</v>
      </c>
      <c r="J17">
        <f>(Prices!J17 / Prices!J16) - 1</f>
        <v>-4.1187800963082832E-3</v>
      </c>
      <c r="K17">
        <f>(Prices!K17 / Prices!K16) - 1</f>
        <v>-5.7737912031540883E-2</v>
      </c>
      <c r="L17">
        <f>(Prices!L17 / Prices!L16) - 1</f>
        <v>5.1391808984114773E-2</v>
      </c>
      <c r="M17">
        <f>(Prices!M17 / Prices!M16) - 1</f>
        <v>0.23313389268600049</v>
      </c>
      <c r="N17">
        <f>(Prices!N17 / Prices!N16) - 1</f>
        <v>0.1903142128426325</v>
      </c>
      <c r="O17">
        <f>(Prices!O17 / Prices!O16) - 1</f>
        <v>0.31114422873317049</v>
      </c>
      <c r="P17">
        <f>(Prices!P17 / Prices!P16) - 1</f>
        <v>0.26249256118425923</v>
      </c>
      <c r="Q17">
        <f>(Prices!Q17 / Prices!Q16) - 1</f>
        <v>0.32657427497017322</v>
      </c>
      <c r="R17">
        <f>(Prices!R17 / Prices!R16) - 1</f>
        <v>-3.5331545131308206E-2</v>
      </c>
      <c r="S17">
        <f>(Prices!S17 / Prices!S16) - 1</f>
        <v>-0.14873917810290727</v>
      </c>
      <c r="T17">
        <f>(Prices!T17 / Prices!T16) - 1</f>
        <v>1.096186976871838E-2</v>
      </c>
      <c r="U17">
        <f>(Prices!U17 / Prices!U16) - 1</f>
        <v>-4.6110445569424563E-2</v>
      </c>
      <c r="V17">
        <f>(Prices!V17 / Prices!V16) - 1</f>
        <v>-2.0780606109396249E-3</v>
      </c>
    </row>
    <row r="18" spans="1:22" x14ac:dyDescent="0.2">
      <c r="A18" t="s">
        <v>17</v>
      </c>
      <c r="B18">
        <f>(Prices!B18 / Prices!B17) - 1</f>
        <v>4.2438634008107767E-2</v>
      </c>
      <c r="C18">
        <f>(Prices!C18 / Prices!C17) - 1</f>
        <v>7.3767451271329332E-3</v>
      </c>
      <c r="D18">
        <f>(Prices!D18 / Prices!D17) - 1</f>
        <v>1.463115627887146E-2</v>
      </c>
      <c r="E18">
        <f>(Prices!E18 / Prices!E17) - 1</f>
        <v>2.0073264436965887E-2</v>
      </c>
      <c r="F18">
        <f>(Prices!F18 / Prices!F17) - 1</f>
        <v>-2.6431396054295453E-2</v>
      </c>
      <c r="G18">
        <f>(Prices!G18 / Prices!G17) - 1</f>
        <v>0.14327303780762346</v>
      </c>
      <c r="H18">
        <f>(Prices!H18 / Prices!H17) - 1</f>
        <v>3.7142857142857144E-2</v>
      </c>
      <c r="I18">
        <f>(Prices!I18 / Prices!I17) - 1</f>
        <v>8.1833797085649529E-2</v>
      </c>
      <c r="J18">
        <f>(Prices!J18 / Prices!J17) - 1</f>
        <v>0.12392615491736425</v>
      </c>
      <c r="K18">
        <f>(Prices!K18 / Prices!K17) - 1</f>
        <v>7.0879271297379587E-2</v>
      </c>
      <c r="L18">
        <f>(Prices!L18 / Prices!L17) - 1</f>
        <v>4.4149228387355688E-3</v>
      </c>
      <c r="M18">
        <f>(Prices!M18 / Prices!M17) - 1</f>
        <v>2.6862877375625205E-2</v>
      </c>
      <c r="N18">
        <f>(Prices!N18 / Prices!N17) - 1</f>
        <v>4.7796698730388387E-2</v>
      </c>
      <c r="O18">
        <f>(Prices!O18 / Prices!O17) - 1</f>
        <v>1.8492813234034511E-2</v>
      </c>
      <c r="P18">
        <f>(Prices!P18 / Prices!P17) - 1</f>
        <v>-2.5774543633330538E-2</v>
      </c>
      <c r="Q18">
        <f>(Prices!Q18 / Prices!Q17) - 1</f>
        <v>7.1341833636906493E-4</v>
      </c>
      <c r="R18">
        <f>(Prices!R18 / Prices!R17) - 1</f>
        <v>3.7505011445504444E-4</v>
      </c>
      <c r="S18">
        <f>(Prices!S18 / Prices!S17) - 1</f>
        <v>-1.1209457869048256E-2</v>
      </c>
      <c r="T18">
        <f>(Prices!T18 / Prices!T17) - 1</f>
        <v>-1.405519529482735E-2</v>
      </c>
      <c r="U18">
        <f>(Prices!U18 / Prices!U17) - 1</f>
        <v>0.18903896482713356</v>
      </c>
      <c r="V18">
        <f>(Prices!V18 / Prices!V17) - 1</f>
        <v>8.7283819896132542E-2</v>
      </c>
    </row>
    <row r="19" spans="1:22" x14ac:dyDescent="0.2">
      <c r="A19" t="s">
        <v>18</v>
      </c>
      <c r="B19">
        <f>(Prices!B19 / Prices!B18) - 1</f>
        <v>5.242531255584737E-2</v>
      </c>
      <c r="C19">
        <f>(Prices!C19 / Prices!C18) - 1</f>
        <v>7.6223313889749011E-2</v>
      </c>
      <c r="D19">
        <f>(Prices!D19 / Prices!D18) - 1</f>
        <v>6.9570546775817421E-2</v>
      </c>
      <c r="E19">
        <f>(Prices!E19 / Prices!E18) - 1</f>
        <v>0.14108590503440288</v>
      </c>
      <c r="F19">
        <f>(Prices!F19 / Prices!F18) - 1</f>
        <v>0.12445285342102674</v>
      </c>
      <c r="G19">
        <f>(Prices!G19 / Prices!G18) - 1</f>
        <v>0.10372457814144576</v>
      </c>
      <c r="H19">
        <f>(Prices!H19 / Prices!H18) - 1</f>
        <v>-9.9122656334497128E-3</v>
      </c>
      <c r="I19">
        <f>(Prices!I19 / Prices!I18) - 1</f>
        <v>6.6782085984462336E-2</v>
      </c>
      <c r="J19">
        <f>(Prices!J19 / Prices!J18) - 1</f>
        <v>7.1863500649628209E-2</v>
      </c>
      <c r="K19">
        <f>(Prices!K19 / Prices!K18) - 1</f>
        <v>-3.3582002835297109E-2</v>
      </c>
      <c r="L19">
        <f>(Prices!L19 / Prices!L18) - 1</f>
        <v>4.2811539723738745E-2</v>
      </c>
      <c r="M19">
        <f>(Prices!M19 / Prices!M18) - 1</f>
        <v>2.5254380594186276E-2</v>
      </c>
      <c r="N19">
        <f>(Prices!N19 / Prices!N18) - 1</f>
        <v>-1.6312601068763644E-2</v>
      </c>
      <c r="O19">
        <f>(Prices!O19 / Prices!O18) - 1</f>
        <v>-3.4585886645965846E-2</v>
      </c>
      <c r="P19">
        <f>(Prices!P19 / Prices!P18) - 1</f>
        <v>-5.1559641350529262E-3</v>
      </c>
      <c r="Q19">
        <f>(Prices!Q19 / Prices!Q18) - 1</f>
        <v>-4.7309903377978579E-2</v>
      </c>
      <c r="R19">
        <f>(Prices!R19 / Prices!R18) - 1</f>
        <v>0.12066268486916942</v>
      </c>
      <c r="S19">
        <f>(Prices!S19 / Prices!S18) - 1</f>
        <v>6.2148821207044458E-2</v>
      </c>
      <c r="T19">
        <f>(Prices!T19 / Prices!T18) - 1</f>
        <v>-2.0496191379363315E-3</v>
      </c>
      <c r="U19">
        <f>(Prices!U19 / Prices!U18) - 1</f>
        <v>6.0320272572402134E-2</v>
      </c>
      <c r="V19">
        <f>(Prices!V19 / Prices!V18) - 1</f>
        <v>5.3269090757323445E-2</v>
      </c>
    </row>
    <row r="20" spans="1:22" x14ac:dyDescent="0.2">
      <c r="A20" t="s">
        <v>19</v>
      </c>
      <c r="B20">
        <f>(Prices!B20 / Prices!B19) - 1</f>
        <v>5.4865025818131574E-3</v>
      </c>
      <c r="C20">
        <f>(Prices!C20 / Prices!C19) - 1</f>
        <v>-5.0505835970730661E-2</v>
      </c>
      <c r="D20">
        <f>(Prices!D20 / Prices!D19) - 1</f>
        <v>-7.6415549970939578E-3</v>
      </c>
      <c r="E20">
        <f>(Prices!E20 / Prices!E19) - 1</f>
        <v>1.4157782515991091E-3</v>
      </c>
      <c r="F20">
        <f>(Prices!F20 / Prices!F19) - 1</f>
        <v>8.2207695954382487E-2</v>
      </c>
      <c r="G20">
        <f>(Prices!G20 / Prices!G19) - 1</f>
        <v>1.1228005414052111E-2</v>
      </c>
      <c r="H20">
        <f>(Prices!H20 / Prices!H19) - 1</f>
        <v>4.6632523888163968E-2</v>
      </c>
      <c r="I20">
        <f>(Prices!I20 / Prices!I19) - 1</f>
        <v>1.1953504081985589E-2</v>
      </c>
      <c r="J20">
        <f>(Prices!J20 / Prices!J19) - 1</f>
        <v>3.2907253349459653E-2</v>
      </c>
      <c r="K20">
        <f>(Prices!K20 / Prices!K19) - 1</f>
        <v>1.8652005579068875E-2</v>
      </c>
      <c r="L20">
        <f>(Prices!L20 / Prices!L19) - 1</f>
        <v>1.524861246209297E-2</v>
      </c>
      <c r="M20">
        <f>(Prices!M20 / Prices!M19) - 1</f>
        <v>3.4587224490879365E-2</v>
      </c>
      <c r="N20">
        <f>(Prices!N20 / Prices!N19) - 1</f>
        <v>1.9330625460265427E-2</v>
      </c>
      <c r="O20">
        <f>(Prices!O20 / Prices!O19) - 1</f>
        <v>9.84702003002218E-2</v>
      </c>
      <c r="P20">
        <f>(Prices!P20 / Prices!P19) - 1</f>
        <v>0.15822390418870458</v>
      </c>
      <c r="Q20">
        <f>(Prices!Q20 / Prices!Q19) - 1</f>
        <v>2.3663386829703148E-2</v>
      </c>
      <c r="R20">
        <f>(Prices!R20 / Prices!R19) - 1</f>
        <v>-7.0467379204134595E-2</v>
      </c>
      <c r="S20">
        <f>(Prices!S20 / Prices!S19) - 1</f>
        <v>-0.11871194181326106</v>
      </c>
      <c r="T20">
        <f>(Prices!T20 / Prices!T19) - 1</f>
        <v>3.1159953405677232E-2</v>
      </c>
      <c r="U20">
        <f>(Prices!U20 / Prices!U19) - 1</f>
        <v>-1.4694541201270006E-2</v>
      </c>
      <c r="V20">
        <f>(Prices!V20 / Prices!V19) - 1</f>
        <v>-3.8084252051705514E-3</v>
      </c>
    </row>
    <row r="21" spans="1:22" x14ac:dyDescent="0.2">
      <c r="A21" t="s">
        <v>20</v>
      </c>
      <c r="B21">
        <f>(Prices!B21 / Prices!B20) - 1</f>
        <v>2.221397632316946E-2</v>
      </c>
      <c r="C21">
        <f>(Prices!C21 / Prices!C20) - 1</f>
        <v>9.917775011465646E-2</v>
      </c>
      <c r="D21">
        <f>(Prices!D21 / Prices!D20) - 1</f>
        <v>8.5001340454929908E-2</v>
      </c>
      <c r="E21">
        <f>(Prices!E21 / Prices!E20) - 1</f>
        <v>3.6051304762553693E-2</v>
      </c>
      <c r="F21">
        <f>(Prices!F21 / Prices!F20) - 1</f>
        <v>0.23170182441895637</v>
      </c>
      <c r="G21">
        <f>(Prices!G21 / Prices!G20) - 1</f>
        <v>5.7737352842758272E-2</v>
      </c>
      <c r="H21">
        <f>(Prices!H21 / Prices!H20) - 1</f>
        <v>-2.6676408109136851E-2</v>
      </c>
      <c r="I21">
        <f>(Prices!I21 / Prices!I20) - 1</f>
        <v>1.1120337354890264E-2</v>
      </c>
      <c r="J21">
        <f>(Prices!J21 / Prices!J20) - 1</f>
        <v>-2.4312526715283056E-2</v>
      </c>
      <c r="K21">
        <f>(Prices!K21 / Prices!K20) - 1</f>
        <v>3.3582981435742232E-2</v>
      </c>
      <c r="L21">
        <f>(Prices!L21 / Prices!L20) - 1</f>
        <v>-4.884417768008853E-3</v>
      </c>
      <c r="M21">
        <f>(Prices!M21 / Prices!M20) - 1</f>
        <v>8.0691267715063741E-2</v>
      </c>
      <c r="N21">
        <f>(Prices!N21 / Prices!N20) - 1</f>
        <v>9.1821886211673753E-3</v>
      </c>
      <c r="O21">
        <f>(Prices!O21 / Prices!O20) - 1</f>
        <v>9.255214445243598E-2</v>
      </c>
      <c r="P21">
        <f>(Prices!P21 / Prices!P20) - 1</f>
        <v>2.5811446530151549E-2</v>
      </c>
      <c r="Q21">
        <f>(Prices!Q21 / Prices!Q20) - 1</f>
        <v>0.20494056622481782</v>
      </c>
      <c r="R21">
        <f>(Prices!R21 / Prices!R20) - 1</f>
        <v>6.7351725678543639E-2</v>
      </c>
      <c r="S21">
        <f>(Prices!S21 / Prices!S20) - 1</f>
        <v>8.7137188290220546E-2</v>
      </c>
      <c r="T21">
        <f>(Prices!T21 / Prices!T20) - 1</f>
        <v>0.13205850439228861</v>
      </c>
      <c r="U21">
        <f>(Prices!U21 / Prices!U20) - 1</f>
        <v>5.1527732029705842E-3</v>
      </c>
      <c r="V21">
        <f>(Prices!V21 / Prices!V20) - 1</f>
        <v>-1.239265810141299E-2</v>
      </c>
    </row>
    <row r="22" spans="1:22" x14ac:dyDescent="0.2">
      <c r="A22" t="s">
        <v>21</v>
      </c>
      <c r="B22">
        <f>(Prices!B22 / Prices!B21) - 1</f>
        <v>2.274810936591054E-2</v>
      </c>
      <c r="C22">
        <f>(Prices!C22 / Prices!C21) - 1</f>
        <v>6.493361348294524E-2</v>
      </c>
      <c r="D22">
        <f>(Prices!D22 / Prices!D21) - 1</f>
        <v>5.171365143083051E-2</v>
      </c>
      <c r="E22">
        <f>(Prices!E22 / Prices!E21) - 1</f>
        <v>0.10351092076383694</v>
      </c>
      <c r="F22">
        <f>(Prices!F22 / Prices!F21) - 1</f>
        <v>-2.5111078829652467E-2</v>
      </c>
      <c r="G22">
        <f>(Prices!G22 / Prices!G21) - 1</f>
        <v>2.4704495125248194E-2</v>
      </c>
      <c r="H22">
        <f>(Prices!H22 / Prices!H21) - 1</f>
        <v>4.5334409870500192E-2</v>
      </c>
      <c r="I22">
        <f>(Prices!I22 / Prices!I21) - 1</f>
        <v>0.10308578360331921</v>
      </c>
      <c r="J22">
        <f>(Prices!J22 / Prices!J21) - 1</f>
        <v>2.9400207099806064E-2</v>
      </c>
      <c r="K22">
        <f>(Prices!K22 / Prices!K21) - 1</f>
        <v>-1.1575769255476431E-2</v>
      </c>
      <c r="L22">
        <f>(Prices!L22 / Prices!L21) - 1</f>
        <v>4.3977308124333314E-2</v>
      </c>
      <c r="M22">
        <f>(Prices!M22 / Prices!M21) - 1</f>
        <v>-8.7347839873032518E-2</v>
      </c>
      <c r="N22">
        <f>(Prices!N22 / Prices!N21) - 1</f>
        <v>-2.7988493101234968E-2</v>
      </c>
      <c r="O22">
        <f>(Prices!O22 / Prices!O21) - 1</f>
        <v>-7.243966537257529E-2</v>
      </c>
      <c r="P22">
        <f>(Prices!P22 / Prices!P21) - 1</f>
        <v>-9.9349523815615237E-2</v>
      </c>
      <c r="Q22">
        <f>(Prices!Q22 / Prices!Q21) - 1</f>
        <v>-0.16530432453538912</v>
      </c>
      <c r="R22">
        <f>(Prices!R22 / Prices!R21) - 1</f>
        <v>-3.2719408399609407E-2</v>
      </c>
      <c r="S22">
        <f>(Prices!S22 / Prices!S21) - 1</f>
        <v>1.1034263595316229E-2</v>
      </c>
      <c r="T22">
        <f>(Prices!T22 / Prices!T21) - 1</f>
        <v>8.4242038300190947E-2</v>
      </c>
      <c r="U22">
        <f>(Prices!U22 / Prices!U21) - 1</f>
        <v>2.9197530263358473E-2</v>
      </c>
      <c r="V22">
        <f>(Prices!V22 / Prices!V21) - 1</f>
        <v>5.0752039524029069E-2</v>
      </c>
    </row>
    <row r="23" spans="1:22" x14ac:dyDescent="0.2">
      <c r="A23" t="s">
        <v>22</v>
      </c>
      <c r="B23">
        <f>(Prices!B23 / Prices!B22) - 1</f>
        <v>2.8990321391681118E-2</v>
      </c>
      <c r="C23">
        <f>(Prices!C23 / Prices!C22) - 1</f>
        <v>4.2524610121109196E-2</v>
      </c>
      <c r="D23">
        <f>(Prices!D23 / Prices!D22) - 1</f>
        <v>6.1611751268668469E-2</v>
      </c>
      <c r="E23">
        <f>(Prices!E23 / Prices!E22) - 1</f>
        <v>7.4001236581968222E-2</v>
      </c>
      <c r="F23">
        <f>(Prices!F23 / Prices!F22) - 1</f>
        <v>0.14812968862398512</v>
      </c>
      <c r="G23">
        <f>(Prices!G23 / Prices!G22) - 1</f>
        <v>6.4776873421274139E-2</v>
      </c>
      <c r="H23">
        <f>(Prices!H23 / Prices!H22) - 1</f>
        <v>1.1308230750663784E-2</v>
      </c>
      <c r="I23">
        <f>(Prices!I23 / Prices!I22) - 1</f>
        <v>7.614659033679394E-2</v>
      </c>
      <c r="J23">
        <f>(Prices!J23 / Prices!J22) - 1</f>
        <v>9.827109926928701E-3</v>
      </c>
      <c r="K23">
        <f>(Prices!K23 / Prices!K22) - 1</f>
        <v>-7.5519276262772106E-3</v>
      </c>
      <c r="L23">
        <f>(Prices!L23 / Prices!L22) - 1</f>
        <v>3.8390596745027317E-2</v>
      </c>
      <c r="M23">
        <f>(Prices!M23 / Prices!M22) - 1</f>
        <v>-3.8647971269482384E-2</v>
      </c>
      <c r="N23">
        <f>(Prices!N23 / Prices!N22) - 1</f>
        <v>-3.6733156754354623E-2</v>
      </c>
      <c r="O23">
        <f>(Prices!O23 / Prices!O22) - 1</f>
        <v>-9.4579249342576777E-3</v>
      </c>
      <c r="P23">
        <f>(Prices!P23 / Prices!P22) - 1</f>
        <v>-2.309074381808629E-2</v>
      </c>
      <c r="Q23">
        <f>(Prices!Q23 / Prices!Q22) - 1</f>
        <v>-1.5715732743622923E-2</v>
      </c>
      <c r="R23">
        <f>(Prices!R23 / Prices!R22) - 1</f>
        <v>4.30340185118403E-2</v>
      </c>
      <c r="S23">
        <f>(Prices!S23 / Prices!S22) - 1</f>
        <v>7.060379714232079E-2</v>
      </c>
      <c r="T23">
        <f>(Prices!T23 / Prices!T22) - 1</f>
        <v>-1.488298870757776E-2</v>
      </c>
      <c r="U23">
        <f>(Prices!U23 / Prices!U22) - 1</f>
        <v>-6.1536521547239653E-3</v>
      </c>
      <c r="V23">
        <f>(Prices!V23 / Prices!V22) - 1</f>
        <v>-1.6294718909710459E-2</v>
      </c>
    </row>
    <row r="24" spans="1:22" x14ac:dyDescent="0.2">
      <c r="A24" t="s">
        <v>23</v>
      </c>
      <c r="B24">
        <f>(Prices!B24 / Prices!B23) - 1</f>
        <v>-4.7569140421166334E-2</v>
      </c>
      <c r="C24">
        <f>(Prices!C24 / Prices!C23) - 1</f>
        <v>-6.811760521317789E-2</v>
      </c>
      <c r="D24">
        <f>(Prices!D24 / Prices!D23) - 1</f>
        <v>-6.6111932015498143E-2</v>
      </c>
      <c r="E24">
        <f>(Prices!E24 / Prices!E23) - 1</f>
        <v>-7.617131957690304E-2</v>
      </c>
      <c r="F24">
        <f>(Prices!F24 / Prices!F23) - 1</f>
        <v>-7.4594202703972656E-2</v>
      </c>
      <c r="G24">
        <f>(Prices!G24 / Prices!G23) - 1</f>
        <v>-0.10540882492487746</v>
      </c>
      <c r="H24">
        <f>(Prices!H24 / Prices!H23) - 1</f>
        <v>-6.7114574507440516E-2</v>
      </c>
      <c r="I24">
        <f>(Prices!I24 / Prices!I23) - 1</f>
        <v>-6.6411045372026245E-2</v>
      </c>
      <c r="J24">
        <f>(Prices!J24 / Prices!J23) - 1</f>
        <v>-5.8026170267653887E-2</v>
      </c>
      <c r="K24">
        <f>(Prices!K24 / Prices!K23) - 1</f>
        <v>-6.640210600762253E-3</v>
      </c>
      <c r="L24">
        <f>(Prices!L24 / Prices!L23) - 1</f>
        <v>-0.10674294272329898</v>
      </c>
      <c r="M24">
        <f>(Prices!M24 / Prices!M23) - 1</f>
        <v>7.8882423310097094E-2</v>
      </c>
      <c r="N24">
        <f>(Prices!N24 / Prices!N23) - 1</f>
        <v>4.8358362835548174E-2</v>
      </c>
      <c r="O24">
        <f>(Prices!O24 / Prices!O23) - 1</f>
        <v>0.22044083264197889</v>
      </c>
      <c r="P24">
        <f>(Prices!P24 / Prices!P23) - 1</f>
        <v>5.7046796910495301E-2</v>
      </c>
      <c r="Q24">
        <f>(Prices!Q24 / Prices!Q23) - 1</f>
        <v>0.15184628014124502</v>
      </c>
      <c r="R24">
        <f>(Prices!R24 / Prices!R23) - 1</f>
        <v>-5.3520802120548439E-2</v>
      </c>
      <c r="S24">
        <f>(Prices!S24 / Prices!S23) - 1</f>
        <v>5.4040939487848494E-2</v>
      </c>
      <c r="T24">
        <f>(Prices!T24 / Prices!T23) - 1</f>
        <v>-0.11842258923028692</v>
      </c>
      <c r="U24">
        <f>(Prices!U24 / Prices!U23) - 1</f>
        <v>1.1517550704502444E-2</v>
      </c>
      <c r="V24">
        <f>(Prices!V24 / Prices!V23) - 1</f>
        <v>1.5369695290379015E-2</v>
      </c>
    </row>
    <row r="25" spans="1:22" x14ac:dyDescent="0.2">
      <c r="A25" t="s">
        <v>24</v>
      </c>
      <c r="B25">
        <f>(Prices!B25 / Prices!B24) - 1</f>
        <v>6.9143873301234615E-2</v>
      </c>
      <c r="C25">
        <f>(Prices!C25 / Prices!C24) - 1</f>
        <v>5.8686274368594971E-2</v>
      </c>
      <c r="D25">
        <f>(Prices!D25 / Prices!D24) - 1</f>
        <v>0.17626214016974373</v>
      </c>
      <c r="E25">
        <f>(Prices!E25 / Prices!E24) - 1</f>
        <v>0.10749814179423822</v>
      </c>
      <c r="F25">
        <f>(Prices!F25 / Prices!F24) - 1</f>
        <v>0.2342526634458677</v>
      </c>
      <c r="G25">
        <f>(Prices!G25 / Prices!G24) - 1</f>
        <v>-4.6613041044226367E-2</v>
      </c>
      <c r="H25">
        <f>(Prices!H25 / Prices!H24) - 1</f>
        <v>8.5259616491626389E-3</v>
      </c>
      <c r="I25">
        <f>(Prices!I25 / Prices!I24) - 1</f>
        <v>1.6968320313067498E-2</v>
      </c>
      <c r="J25">
        <f>(Prices!J25 / Prices!J24) - 1</f>
        <v>0.17846228934774055</v>
      </c>
      <c r="K25">
        <f>(Prices!K25 / Prices!K24) - 1</f>
        <v>0.17228770578980224</v>
      </c>
      <c r="L25">
        <f>(Prices!L25 / Prices!L24) - 1</f>
        <v>7.5808825679666958E-2</v>
      </c>
      <c r="M25">
        <f>(Prices!M25 / Prices!M24) - 1</f>
        <v>9.6054154172443562E-2</v>
      </c>
      <c r="N25">
        <f>(Prices!N25 / Prices!N24) - 1</f>
        <v>0.12848775347871455</v>
      </c>
      <c r="O25">
        <f>(Prices!O25 / Prices!O24) - 1</f>
        <v>0.10576526442474821</v>
      </c>
      <c r="P25">
        <f>(Prices!P25 / Prices!P24) - 1</f>
        <v>8.8401760539165153E-2</v>
      </c>
      <c r="Q25">
        <f>(Prices!Q25 / Prices!Q24) - 1</f>
        <v>0.13352338602976288</v>
      </c>
      <c r="R25">
        <f>(Prices!R25 / Prices!R24) - 1</f>
        <v>2.6605459903075834E-2</v>
      </c>
      <c r="S25">
        <f>(Prices!S25 / Prices!S24) - 1</f>
        <v>0.43653019617552524</v>
      </c>
      <c r="T25">
        <f>(Prices!T25 / Prices!T24) - 1</f>
        <v>0.15188593739106171</v>
      </c>
      <c r="U25">
        <f>(Prices!U25 / Prices!U24) - 1</f>
        <v>0.13244734061068275</v>
      </c>
      <c r="V25">
        <f>(Prices!V25 / Prices!V24) - 1</f>
        <v>1.8454401255308728E-2</v>
      </c>
    </row>
    <row r="26" spans="1:22" x14ac:dyDescent="0.2">
      <c r="A26" t="s">
        <v>25</v>
      </c>
      <c r="B26">
        <f>(Prices!B26 / Prices!B25) - 1</f>
        <v>-8.3337314184714906E-3</v>
      </c>
      <c r="C26">
        <f>(Prices!C26 / Prices!C25) - 1</f>
        <v>0.10511815844251249</v>
      </c>
      <c r="D26">
        <f>(Prices!D26 / Prices!D25) - 1</f>
        <v>-1.2676510333370361E-3</v>
      </c>
      <c r="E26">
        <f>(Prices!E26 / Prices!E25) - 1</f>
        <v>-4.1535885459389577E-2</v>
      </c>
      <c r="F26">
        <f>(Prices!F26 / Prices!F25) - 1</f>
        <v>0.27800720946634283</v>
      </c>
      <c r="G26">
        <f>(Prices!G26 / Prices!G25) - 1</f>
        <v>2.7505640201501702E-3</v>
      </c>
      <c r="H26">
        <f>(Prices!H26 / Prices!H25) - 1</f>
        <v>-3.6377704069660455E-2</v>
      </c>
      <c r="I26">
        <f>(Prices!I26 / Prices!I25) - 1</f>
        <v>0.23919581476974794</v>
      </c>
      <c r="J26">
        <f>(Prices!J26 / Prices!J25) - 1</f>
        <v>-3.5289028579580384E-2</v>
      </c>
      <c r="K26">
        <f>(Prices!K26 / Prices!K25) - 1</f>
        <v>-0.14923271100447377</v>
      </c>
      <c r="L26">
        <f>(Prices!L26 / Prices!L25) - 1</f>
        <v>5.4274944728351926E-3</v>
      </c>
      <c r="M26">
        <f>(Prices!M26 / Prices!M25) - 1</f>
        <v>-5.9344872614119359E-2</v>
      </c>
      <c r="N26">
        <f>(Prices!N26 / Prices!N25) - 1</f>
        <v>-2.6821431513809335E-3</v>
      </c>
      <c r="O26">
        <f>(Prices!O26 / Prices!O25) - 1</f>
        <v>-5.8533082215130872E-2</v>
      </c>
      <c r="P26">
        <f>(Prices!P26 / Prices!P25) - 1</f>
        <v>-0.10720028812525872</v>
      </c>
      <c r="Q26">
        <f>(Prices!Q26 / Prices!Q25) - 1</f>
        <v>-0.1157312700055354</v>
      </c>
      <c r="R26">
        <f>(Prices!R26 / Prices!R25) - 1</f>
        <v>3.992361613549833E-2</v>
      </c>
      <c r="S26">
        <f>(Prices!S26 / Prices!S25) - 1</f>
        <v>2.7614028378840416E-2</v>
      </c>
      <c r="T26">
        <f>(Prices!T26 / Prices!T25) - 1</f>
        <v>1.169990618285266E-2</v>
      </c>
      <c r="U26">
        <f>(Prices!U26 / Prices!U25) - 1</f>
        <v>7.7665628245067619E-2</v>
      </c>
      <c r="V26">
        <f>(Prices!V26 / Prices!V25) - 1</f>
        <v>1.6453703548640064E-3</v>
      </c>
    </row>
    <row r="27" spans="1:22" x14ac:dyDescent="0.2">
      <c r="A27" t="s">
        <v>26</v>
      </c>
      <c r="B27">
        <f>(Prices!B27 / Prices!B26) - 1</f>
        <v>4.3612874972629889E-2</v>
      </c>
      <c r="C27">
        <f>(Prices!C27 / Prices!C26) - 1</f>
        <v>7.4203337457450891E-2</v>
      </c>
      <c r="D27">
        <f>(Prices!D27 / Prices!D26) - 1</f>
        <v>1.7338277964839222E-2</v>
      </c>
      <c r="E27">
        <f>(Prices!E27 / Prices!E26) - 1</f>
        <v>2.0829796865274863E-2</v>
      </c>
      <c r="F27">
        <f>(Prices!F27 / Prices!F26) - 1</f>
        <v>-9.9793667777529071E-2</v>
      </c>
      <c r="G27">
        <f>(Prices!G27 / Prices!G26) - 1</f>
        <v>3.6645503297787263E-2</v>
      </c>
      <c r="H27">
        <f>(Prices!H27 / Prices!H26) - 1</f>
        <v>9.7069295722738147E-2</v>
      </c>
      <c r="I27">
        <f>(Prices!I27 / Prices!I26) - 1</f>
        <v>9.8996164518335705E-2</v>
      </c>
      <c r="J27">
        <f>(Prices!J27 / Prices!J26) - 1</f>
        <v>0.13407222961595533</v>
      </c>
      <c r="K27">
        <f>(Prices!K27 / Prices!K26) - 1</f>
        <v>3.279225500550087E-2</v>
      </c>
      <c r="L27">
        <f>(Prices!L27 / Prices!L26) - 1</f>
        <v>0.17447257193839394</v>
      </c>
      <c r="M27">
        <f>(Prices!M27 / Prices!M26) - 1</f>
        <v>2.2555071590026676E-2</v>
      </c>
      <c r="N27">
        <f>(Prices!N27 / Prices!N26) - 1</f>
        <v>3.9661122737452814E-2</v>
      </c>
      <c r="O27">
        <f>(Prices!O27 / Prices!O26) - 1</f>
        <v>3.2081895054894449E-2</v>
      </c>
      <c r="P27">
        <f>(Prices!P27 / Prices!P26) - 1</f>
        <v>4.4278601683669594E-2</v>
      </c>
      <c r="Q27">
        <f>(Prices!Q27 / Prices!Q26) - 1</f>
        <v>-2.1916186406657157E-2</v>
      </c>
      <c r="R27">
        <f>(Prices!R27 / Prices!R26) - 1</f>
        <v>-4.9254650592515659E-2</v>
      </c>
      <c r="S27">
        <f>(Prices!S27 / Prices!S26) - 1</f>
        <v>-7.6855343604472881E-2</v>
      </c>
      <c r="T27">
        <f>(Prices!T27 / Prices!T26) - 1</f>
        <v>-1.3461124273099312E-2</v>
      </c>
      <c r="U27">
        <f>(Prices!U27 / Prices!U26) - 1</f>
        <v>4.0221290329211623E-2</v>
      </c>
      <c r="V27">
        <f>(Prices!V27 / Prices!V26) - 1</f>
        <v>9.5951848523480265E-2</v>
      </c>
    </row>
    <row r="28" spans="1:22" x14ac:dyDescent="0.2">
      <c r="A28" t="s">
        <v>27</v>
      </c>
      <c r="B28">
        <f>(Prices!B28 / Prices!B27) - 1</f>
        <v>-5.2585089106999772E-2</v>
      </c>
      <c r="C28">
        <f>(Prices!C28 / Prices!C27) - 1</f>
        <v>-1.5712206470541168E-2</v>
      </c>
      <c r="D28">
        <f>(Prices!D28 / Prices!D27) - 1</f>
        <v>-7.5351867781906057E-2</v>
      </c>
      <c r="E28">
        <f>(Prices!E28 / Prices!E27) - 1</f>
        <v>-6.5918838209923281E-2</v>
      </c>
      <c r="F28">
        <f>(Prices!F28 / Prices!F27) - 1</f>
        <v>-0.16745282215630253</v>
      </c>
      <c r="G28">
        <f>(Prices!G28 / Prices!G27) - 1</f>
        <v>-6.8648729002527165E-2</v>
      </c>
      <c r="H28">
        <f>(Prices!H28 / Prices!H27) - 1</f>
        <v>7.1149185323828856E-3</v>
      </c>
      <c r="I28">
        <f>(Prices!I28 / Prices!I27) - 1</f>
        <v>-0.10091411066544043</v>
      </c>
      <c r="J28">
        <f>(Prices!J28 / Prices!J27) - 1</f>
        <v>-5.8882787542035908E-2</v>
      </c>
      <c r="K28">
        <f>(Prices!K28 / Prices!K27) - 1</f>
        <v>6.3162221280396169E-2</v>
      </c>
      <c r="L28">
        <f>(Prices!L28 / Prices!L27) - 1</f>
        <v>2.1515772350237494E-2</v>
      </c>
      <c r="M28">
        <f>(Prices!M28 / Prices!M27) - 1</f>
        <v>0.24137925175558261</v>
      </c>
      <c r="N28">
        <f>(Prices!N28 / Prices!N27) - 1</f>
        <v>0.11917647370419093</v>
      </c>
      <c r="O28">
        <f>(Prices!O28 / Prices!O27) - 1</f>
        <v>0.22776422951272268</v>
      </c>
      <c r="P28">
        <f>(Prices!P28 / Prices!P27) - 1</f>
        <v>0.30451695977770998</v>
      </c>
      <c r="Q28">
        <f>(Prices!Q28 / Prices!Q27) - 1</f>
        <v>0.2994024264685422</v>
      </c>
      <c r="R28">
        <f>(Prices!R28 / Prices!R27) - 1</f>
        <v>-0.10282694626222877</v>
      </c>
      <c r="S28">
        <f>(Prices!S28 / Prices!S27) - 1</f>
        <v>-0.11360926588315445</v>
      </c>
      <c r="T28">
        <f>(Prices!T28 / Prices!T27) - 1</f>
        <v>-0.11161445257068003</v>
      </c>
      <c r="U28">
        <f>(Prices!U28 / Prices!U27) - 1</f>
        <v>-0.11572901871178898</v>
      </c>
      <c r="V28">
        <f>(Prices!V28 / Prices!V27) - 1</f>
        <v>-3.2185231940381698E-2</v>
      </c>
    </row>
    <row r="29" spans="1:22" x14ac:dyDescent="0.2">
      <c r="A29" t="s">
        <v>28</v>
      </c>
      <c r="B29">
        <f>(Prices!B29 / Prices!B28) - 1</f>
        <v>-3.1360520866782648E-2</v>
      </c>
      <c r="C29">
        <f>(Prices!C29 / Prices!C28) - 1</f>
        <v>-5.4042568055329032E-2</v>
      </c>
      <c r="D29">
        <f>(Prices!D29 / Prices!D28) - 1</f>
        <v>-3.7212984956452977E-2</v>
      </c>
      <c r="E29">
        <f>(Prices!E29 / Prices!E28) - 1</f>
        <v>-1.8247227682379741E-3</v>
      </c>
      <c r="F29">
        <f>(Prices!F29 / Prices!F28) - 1</f>
        <v>-4.1193675727638768E-3</v>
      </c>
      <c r="G29">
        <f>(Prices!G29 / Prices!G28) - 1</f>
        <v>-0.32634233544020941</v>
      </c>
      <c r="H29">
        <f>(Prices!H29 / Prices!H28) - 1</f>
        <v>-3.867093961090784E-2</v>
      </c>
      <c r="I29">
        <f>(Prices!I29 / Prices!I28) - 1</f>
        <v>-0.10912920283076655</v>
      </c>
      <c r="J29">
        <f>(Prices!J29 / Prices!J28) - 1</f>
        <v>6.9834118827500902E-3</v>
      </c>
      <c r="K29">
        <f>(Prices!K29 / Prices!K28) - 1</f>
        <v>-6.0140166975012566E-2</v>
      </c>
      <c r="L29">
        <f>(Prices!L29 / Prices!L28) - 1</f>
        <v>7.9420403073756418E-2</v>
      </c>
      <c r="M29">
        <f>(Prices!M29 / Prices!M28) - 1</f>
        <v>4.383293526686427E-2</v>
      </c>
      <c r="N29">
        <f>(Prices!N29 / Prices!N28) - 1</f>
        <v>0.1079531111952543</v>
      </c>
      <c r="O29">
        <f>(Prices!O29 / Prices!O28) - 1</f>
        <v>7.0407656560356857E-2</v>
      </c>
      <c r="P29">
        <f>(Prices!P29 / Prices!P28) - 1</f>
        <v>7.4731931341174285E-3</v>
      </c>
      <c r="Q29">
        <f>(Prices!Q29 / Prices!Q28) - 1</f>
        <v>0.16088421807785891</v>
      </c>
      <c r="R29">
        <f>(Prices!R29 / Prices!R28) - 1</f>
        <v>2.6669073502079144E-2</v>
      </c>
      <c r="S29">
        <f>(Prices!S29 / Prices!S28) - 1</f>
        <v>-7.0769280040994254E-2</v>
      </c>
      <c r="T29">
        <f>(Prices!T29 / Prices!T28) - 1</f>
        <v>-7.7778460404251404E-2</v>
      </c>
      <c r="U29">
        <f>(Prices!U29 / Prices!U28) - 1</f>
        <v>-0.13937006774216076</v>
      </c>
      <c r="V29">
        <f>(Prices!V29 / Prices!V28) - 1</f>
        <v>-5.1315799843948184E-2</v>
      </c>
    </row>
    <row r="30" spans="1:22" x14ac:dyDescent="0.2">
      <c r="A30" t="s">
        <v>29</v>
      </c>
      <c r="B30">
        <f>(Prices!B30 / Prices!B29) - 1</f>
        <v>3.5773238773280092E-2</v>
      </c>
      <c r="C30">
        <f>(Prices!C30 / Prices!C29) - 1</f>
        <v>5.7437734246625904E-2</v>
      </c>
      <c r="D30">
        <f>(Prices!D30 / Prices!D29) - 1</f>
        <v>3.1853070175438702E-2</v>
      </c>
      <c r="E30">
        <f>(Prices!E30 / Prices!E29) - 1</f>
        <v>2.9702234541387762E-2</v>
      </c>
      <c r="F30">
        <f>(Prices!F30 / Prices!F29) - 1</f>
        <v>0.11914659393381744</v>
      </c>
      <c r="G30">
        <f>(Prices!G30 / Prices!G29) - 1</f>
        <v>5.3689048950386287E-2</v>
      </c>
      <c r="H30">
        <f>(Prices!H30 / Prices!H29) - 1</f>
        <v>7.6927366686081688E-2</v>
      </c>
      <c r="I30">
        <f>(Prices!I30 / Prices!I29) - 1</f>
        <v>0.10289636142958192</v>
      </c>
      <c r="J30">
        <f>(Prices!J30 / Prices!J29) - 1</f>
        <v>7.4822353499891303E-2</v>
      </c>
      <c r="K30">
        <f>(Prices!K30 / Prices!K29) - 1</f>
        <v>8.0957328702781162E-2</v>
      </c>
      <c r="L30">
        <f>(Prices!L30 / Prices!L29) - 1</f>
        <v>9.7049408489909617E-2</v>
      </c>
      <c r="M30">
        <f>(Prices!M30 / Prices!M29) - 1</f>
        <v>5.3174499108360473E-2</v>
      </c>
      <c r="N30">
        <f>(Prices!N30 / Prices!N29) - 1</f>
        <v>0.13075548404092485</v>
      </c>
      <c r="O30">
        <f>(Prices!O30 / Prices!O29) - 1</f>
        <v>5.7339705505845773E-2</v>
      </c>
      <c r="P30">
        <f>(Prices!P30 / Prices!P29) - 1</f>
        <v>5.275194468007216E-2</v>
      </c>
      <c r="Q30">
        <f>(Prices!Q30 / Prices!Q29) - 1</f>
        <v>0.30060298610710778</v>
      </c>
      <c r="R30">
        <f>(Prices!R30 / Prices!R29) - 1</f>
        <v>6.1440581390048488E-2</v>
      </c>
      <c r="S30">
        <f>(Prices!S30 / Prices!S29) - 1</f>
        <v>0.23801022254543458</v>
      </c>
      <c r="T30">
        <f>(Prices!T30 / Prices!T29) - 1</f>
        <v>-1.2331697495910343E-2</v>
      </c>
      <c r="U30">
        <f>(Prices!U30 / Prices!U29) - 1</f>
        <v>-4.6539255527713319E-2</v>
      </c>
      <c r="V30">
        <f>(Prices!V30 / Prices!V29) - 1</f>
        <v>1.0251723851457895E-2</v>
      </c>
    </row>
    <row r="31" spans="1:22" x14ac:dyDescent="0.2">
      <c r="A31" t="s">
        <v>30</v>
      </c>
      <c r="B31">
        <f>(Prices!B31 / Prices!B30) - 1</f>
        <v>-8.7956719149039353E-2</v>
      </c>
      <c r="C31">
        <f>(Prices!C31 / Prices!C30) - 1</f>
        <v>-9.7100487714029571E-2</v>
      </c>
      <c r="D31">
        <f>(Prices!D31 / Prices!D30) - 1</f>
        <v>-9.9858535678231886E-2</v>
      </c>
      <c r="E31">
        <f>(Prices!E31 / Prices!E30) - 1</f>
        <v>-0.17946682447353612</v>
      </c>
      <c r="F31">
        <f>(Prices!F31 / Prices!F30) - 1</f>
        <v>-0.32027057778560786</v>
      </c>
      <c r="G31">
        <f>(Prices!G31 / Prices!G30) - 1</f>
        <v>-9.8443964741860124E-2</v>
      </c>
      <c r="H31">
        <f>(Prices!H31 / Prices!H30) - 1</f>
        <v>1.8227743223571791E-2</v>
      </c>
      <c r="I31">
        <f>(Prices!I31 / Prices!I30) - 1</f>
        <v>-5.2152691458113853E-2</v>
      </c>
      <c r="J31">
        <f>(Prices!J31 / Prices!J30) - 1</f>
        <v>-2.7894204364792285E-3</v>
      </c>
      <c r="K31">
        <f>(Prices!K31 / Prices!K30) - 1</f>
        <v>8.0923394152943251E-2</v>
      </c>
      <c r="L31">
        <f>(Prices!L31 / Prices!L30) - 1</f>
        <v>-8.6224832853354916E-2</v>
      </c>
      <c r="M31">
        <f>(Prices!M31 / Prices!M30) - 1</f>
        <v>3.2207701013330592E-2</v>
      </c>
      <c r="N31">
        <f>(Prices!N31 / Prices!N30) - 1</f>
        <v>-3.7823168658464468E-2</v>
      </c>
      <c r="O31">
        <f>(Prices!O31 / Prices!O30) - 1</f>
        <v>-4.4799100975702055E-2</v>
      </c>
      <c r="P31">
        <f>(Prices!P31 / Prices!P30) - 1</f>
        <v>-5.567787457171347E-2</v>
      </c>
      <c r="Q31">
        <f>(Prices!Q31 / Prices!Q30) - 1</f>
        <v>-2.907954946377822E-2</v>
      </c>
      <c r="R31">
        <f>(Prices!R31 / Prices!R30) - 1</f>
        <v>-0.23752438680229204</v>
      </c>
      <c r="S31">
        <f>(Prices!S31 / Prices!S30) - 1</f>
        <v>-0.19194599109131405</v>
      </c>
      <c r="T31">
        <f>(Prices!T31 / Prices!T30) - 1</f>
        <v>-7.3272728635344953E-2</v>
      </c>
      <c r="U31">
        <f>(Prices!U31 / Prices!U30) - 1</f>
        <v>3.5779210610529244E-3</v>
      </c>
      <c r="V31">
        <f>(Prices!V31 / Prices!V30) - 1</f>
        <v>7.6066576757343185E-3</v>
      </c>
    </row>
    <row r="32" spans="1:22" x14ac:dyDescent="0.2">
      <c r="A32" t="s">
        <v>31</v>
      </c>
      <c r="B32">
        <f>(Prices!B32 / Prices!B31) - 1</f>
        <v>5.3243883608722342E-5</v>
      </c>
      <c r="C32">
        <f>(Prices!C32 / Prices!C31) - 1</f>
        <v>-5.4506310510642253E-2</v>
      </c>
      <c r="D32">
        <f>(Prices!D32 / Prices!D31) - 1</f>
        <v>-1.8084223341264916E-2</v>
      </c>
      <c r="E32">
        <f>(Prices!E32 / Prices!E31) - 1</f>
        <v>-3.0519446252351701E-3</v>
      </c>
      <c r="F32">
        <f>(Prices!F32 / Prices!F31) - 1</f>
        <v>6.7388428413295287E-3</v>
      </c>
      <c r="G32">
        <f>(Prices!G32 / Prices!G31) - 1</f>
        <v>-3.406993565121974E-2</v>
      </c>
      <c r="H32">
        <f>(Prices!H32 / Prices!H31) - 1</f>
        <v>1.2375048737349736E-3</v>
      </c>
      <c r="I32">
        <f>(Prices!I32 / Prices!I31) - 1</f>
        <v>8.9717861923366726E-2</v>
      </c>
      <c r="J32">
        <f>(Prices!J32 / Prices!J31) - 1</f>
        <v>-2.3137651947600202E-2</v>
      </c>
      <c r="K32">
        <f>(Prices!K32 / Prices!K31) - 1</f>
        <v>3.7660323759892922E-2</v>
      </c>
      <c r="L32">
        <f>(Prices!L32 / Prices!L31) - 1</f>
        <v>3.3321069328648978E-3</v>
      </c>
      <c r="M32">
        <f>(Prices!M32 / Prices!M31) - 1</f>
        <v>0.13763385609278922</v>
      </c>
      <c r="N32">
        <f>(Prices!N32 / Prices!N31) - 1</f>
        <v>0.12398976513470883</v>
      </c>
      <c r="O32">
        <f>(Prices!O32 / Prices!O31) - 1</f>
        <v>0.1815774877368137</v>
      </c>
      <c r="P32">
        <f>(Prices!P32 / Prices!P31) - 1</f>
        <v>0.18245288254806424</v>
      </c>
      <c r="Q32">
        <f>(Prices!Q32 / Prices!Q31) - 1</f>
        <v>0.25812171200996281</v>
      </c>
      <c r="R32">
        <f>(Prices!R32 / Prices!R31) - 1</f>
        <v>-3.2764197550731455E-2</v>
      </c>
      <c r="S32">
        <f>(Prices!S32 / Prices!S31) - 1</f>
        <v>-0.12919763103223736</v>
      </c>
      <c r="T32">
        <f>(Prices!T32 / Prices!T31) - 1</f>
        <v>-4.6920489098790208E-2</v>
      </c>
      <c r="U32">
        <f>(Prices!U32 / Prices!U31) - 1</f>
        <v>7.8223319775980737E-3</v>
      </c>
      <c r="V32">
        <f>(Prices!V32 / Prices!V31) - 1</f>
        <v>1.2241999853096042E-2</v>
      </c>
    </row>
    <row r="33" spans="1:22" x14ac:dyDescent="0.2">
      <c r="A33" t="s">
        <v>32</v>
      </c>
      <c r="B33">
        <f>(Prices!B33 / Prices!B32) - 1</f>
        <v>-8.3919993223866451E-2</v>
      </c>
      <c r="C33">
        <f>(Prices!C33 / Prices!C32) - 1</f>
        <v>-8.1427850724696937E-2</v>
      </c>
      <c r="D33">
        <f>(Prices!D33 / Prices!D32) - 1</f>
        <v>-5.5315727580467655E-2</v>
      </c>
      <c r="E33">
        <f>(Prices!E33 / Prices!E32) - 1</f>
        <v>-4.2178719199654213E-2</v>
      </c>
      <c r="F33">
        <f>(Prices!F33 / Prices!F32) - 1</f>
        <v>-0.18797165889843015</v>
      </c>
      <c r="G33">
        <f>(Prices!G33 / Prices!G32) - 1</f>
        <v>-0.16726915926461472</v>
      </c>
      <c r="H33">
        <f>(Prices!H33 / Prices!H32) - 1</f>
        <v>-1.1253583764137542E-2</v>
      </c>
      <c r="I33">
        <f>(Prices!I33 / Prices!I32) - 1</f>
        <v>-1.1499627282535174E-2</v>
      </c>
      <c r="J33">
        <f>(Prices!J33 / Prices!J32) - 1</f>
        <v>3.7600359471305911E-2</v>
      </c>
      <c r="K33">
        <f>(Prices!K33 / Prices!K32) - 1</f>
        <v>-1.2373317305153231E-3</v>
      </c>
      <c r="L33">
        <f>(Prices!L33 / Prices!L32) - 1</f>
        <v>3.9298983623117234E-2</v>
      </c>
      <c r="M33">
        <f>(Prices!M33 / Prices!M32) - 1</f>
        <v>-0.10791597264117048</v>
      </c>
      <c r="N33">
        <f>(Prices!N33 / Prices!N32) - 1</f>
        <v>-0.17107208980076627</v>
      </c>
      <c r="O33">
        <f>(Prices!O33 / Prices!O32) - 1</f>
        <v>-0.19449161089208755</v>
      </c>
      <c r="P33">
        <f>(Prices!P33 / Prices!P32) - 1</f>
        <v>-0.22193148494612092</v>
      </c>
      <c r="Q33">
        <f>(Prices!Q33 / Prices!Q32) - 1</f>
        <v>-0.14888083205368996</v>
      </c>
      <c r="R33">
        <f>(Prices!R33 / Prices!R32) - 1</f>
        <v>-0.11646285666749856</v>
      </c>
      <c r="S33">
        <f>(Prices!S33 / Prices!S32) - 1</f>
        <v>-0.11188789054927128</v>
      </c>
      <c r="T33">
        <f>(Prices!T33 / Prices!T32) - 1</f>
        <v>-0.13795883041729595</v>
      </c>
      <c r="U33">
        <f>(Prices!U33 / Prices!U32) - 1</f>
        <v>-8.835319737599423E-2</v>
      </c>
      <c r="V33">
        <f>(Prices!V33 / Prices!V32) - 1</f>
        <v>-1.5710035556200541E-2</v>
      </c>
    </row>
    <row r="34" spans="1:22" x14ac:dyDescent="0.2">
      <c r="A34" t="s">
        <v>33</v>
      </c>
      <c r="B34">
        <f>(Prices!B34 / Prices!B33) - 1</f>
        <v>9.1116347632205885E-2</v>
      </c>
      <c r="C34">
        <f>(Prices!C34 / Prices!C33) - 1</f>
        <v>0.18864017574848968</v>
      </c>
      <c r="D34">
        <f>(Prices!D34 / Prices!D33) - 1</f>
        <v>9.3095768374164889E-2</v>
      </c>
      <c r="E34">
        <f>(Prices!E34 / Prices!E33) - 1</f>
        <v>6.7514046237450609E-2</v>
      </c>
      <c r="F34">
        <f>(Prices!F34 / Prices!F33) - 1</f>
        <v>0.19815452089539431</v>
      </c>
      <c r="G34">
        <f>(Prices!G34 / Prices!G33) - 1</f>
        <v>-1.3333333333333419E-2</v>
      </c>
      <c r="H34">
        <f>(Prices!H34 / Prices!H33) - 1</f>
        <v>-1.6844184161557973E-2</v>
      </c>
      <c r="I34">
        <f>(Prices!I34 / Prices!I33) - 1</f>
        <v>-2.9144583031238236E-2</v>
      </c>
      <c r="J34">
        <f>(Prices!J34 / Prices!J33) - 1</f>
        <v>5.5901001748565937E-2</v>
      </c>
      <c r="K34">
        <f>(Prices!K34 / Prices!K33) - 1</f>
        <v>-2.0072192661078847E-2</v>
      </c>
      <c r="L34">
        <f>(Prices!L34 / Prices!L33) - 1</f>
        <v>-5.4249632188958397E-2</v>
      </c>
      <c r="M34">
        <f>(Prices!M34 / Prices!M33) - 1</f>
        <v>0.13183128789877663</v>
      </c>
      <c r="N34">
        <f>(Prices!N34 / Prices!N33) - 1</f>
        <v>0.13123090430201922</v>
      </c>
      <c r="O34">
        <f>(Prices!O34 / Prices!O33) - 1</f>
        <v>8.484716037916229E-2</v>
      </c>
      <c r="P34">
        <f>(Prices!P34 / Prices!P33) - 1</f>
        <v>3.5515752204406503E-2</v>
      </c>
      <c r="Q34">
        <f>(Prices!Q34 / Prices!Q33) - 1</f>
        <v>0.11667826253035396</v>
      </c>
      <c r="R34">
        <f>(Prices!R34 / Prices!R33) - 1</f>
        <v>0.27059598907824123</v>
      </c>
      <c r="S34">
        <f>(Prices!S34 / Prices!S33) - 1</f>
        <v>0.32376722367500754</v>
      </c>
      <c r="T34">
        <f>(Prices!T34 / Prices!T33) - 1</f>
        <v>0.12446478665288652</v>
      </c>
      <c r="U34">
        <f>(Prices!U34 / Prices!U33) - 1</f>
        <v>9.7240938811827604E-2</v>
      </c>
      <c r="V34">
        <f>(Prices!V34 / Prices!V33) - 1</f>
        <v>6.6791993807364891E-2</v>
      </c>
    </row>
    <row r="35" spans="1:22" x14ac:dyDescent="0.2">
      <c r="A35" t="s">
        <v>34</v>
      </c>
      <c r="B35">
        <f>(Prices!B35 / Prices!B34) - 1</f>
        <v>-4.2440119216810457E-2</v>
      </c>
      <c r="C35">
        <f>(Prices!C35 / Prices!C34) - 1</f>
        <v>-3.1213511910336833E-2</v>
      </c>
      <c r="D35">
        <f>(Prices!D35 / Prices!D34) - 1</f>
        <v>-6.6658662242403133E-2</v>
      </c>
      <c r="E35">
        <f>(Prices!E35 / Prices!E34) - 1</f>
        <v>-6.9637618636755882E-2</v>
      </c>
      <c r="F35">
        <f>(Prices!F35 / Prices!F34) - 1</f>
        <v>-0.16896641069036433</v>
      </c>
      <c r="G35">
        <f>(Prices!G35 / Prices!G34) - 1</f>
        <v>2.407291011942192E-2</v>
      </c>
      <c r="H35">
        <f>(Prices!H35 / Prices!H34) - 1</f>
        <v>-6.9309057552411346E-2</v>
      </c>
      <c r="I35">
        <f>(Prices!I35 / Prices!I34) - 1</f>
        <v>-0.10453507132473938</v>
      </c>
      <c r="J35">
        <f>(Prices!J35 / Prices!J34) - 1</f>
        <v>-4.2429049544408071E-2</v>
      </c>
      <c r="K35">
        <f>(Prices!K35 / Prices!K34) - 1</f>
        <v>-4.4547092366337027E-2</v>
      </c>
      <c r="L35">
        <f>(Prices!L35 / Prices!L34) - 1</f>
        <v>-6.3056087397229454E-2</v>
      </c>
      <c r="M35">
        <f>(Prices!M35 / Prices!M34) - 1</f>
        <v>-4.2433794984180206E-3</v>
      </c>
      <c r="N35">
        <f>(Prices!N35 / Prices!N34) - 1</f>
        <v>-2.6151907065112723E-2</v>
      </c>
      <c r="O35">
        <f>(Prices!O35 / Prices!O34) - 1</f>
        <v>0.12841932532587985</v>
      </c>
      <c r="P35">
        <f>(Prices!P35 / Prices!P34) - 1</f>
        <v>3.0244213174063672E-2</v>
      </c>
      <c r="Q35">
        <f>(Prices!Q35 / Prices!Q34) - 1</f>
        <v>7.9847229391086127E-2</v>
      </c>
      <c r="R35">
        <f>(Prices!R35 / Prices!R34) - 1</f>
        <v>-6.0615042608373471E-2</v>
      </c>
      <c r="S35">
        <f>(Prices!S35 / Prices!S34) - 1</f>
        <v>-7.248864209994943E-2</v>
      </c>
      <c r="T35">
        <f>(Prices!T35 / Prices!T34) - 1</f>
        <v>-7.3704481792717158E-2</v>
      </c>
      <c r="U35">
        <f>(Prices!U35 / Prices!U34) - 1</f>
        <v>-3.5347638387434377E-2</v>
      </c>
      <c r="V35">
        <f>(Prices!V35 / Prices!V34) - 1</f>
        <v>-3.6864271755947975E-2</v>
      </c>
    </row>
    <row r="36" spans="1:22" x14ac:dyDescent="0.2">
      <c r="A36" t="s">
        <v>35</v>
      </c>
      <c r="B36">
        <f>(Prices!B36 / Prices!B35) - 1</f>
        <v>-9.3395701643489315E-2</v>
      </c>
      <c r="C36">
        <f>(Prices!C36 / Prices!C35) - 1</f>
        <v>-0.12098146381706165</v>
      </c>
      <c r="D36">
        <f>(Prices!D36 / Prices!D35) - 1</f>
        <v>-0.10927114884593037</v>
      </c>
      <c r="E36">
        <f>(Prices!E36 / Prices!E35) - 1</f>
        <v>-0.11615149913288625</v>
      </c>
      <c r="F36">
        <f>(Prices!F36 / Prices!F35) - 1</f>
        <v>-0.19553954639229965</v>
      </c>
      <c r="G36">
        <f>(Prices!G36 / Prices!G35) - 1</f>
        <v>-0.16724973915178298</v>
      </c>
      <c r="H36">
        <f>(Prices!H36 / Prices!H35) - 1</f>
        <v>1.2519883971179979E-2</v>
      </c>
      <c r="I36">
        <f>(Prices!I36 / Prices!I35) - 1</f>
        <v>-3.2500401377169585E-2</v>
      </c>
      <c r="J36">
        <f>(Prices!J36 / Prices!J35) - 1</f>
        <v>-2.4465733830594472E-2</v>
      </c>
      <c r="K36">
        <f>(Prices!K36 / Prices!K35) - 1</f>
        <v>1.7034434187879643E-2</v>
      </c>
      <c r="L36">
        <f>(Prices!L36 / Prices!L35) - 1</f>
        <v>-1.863176716301207E-3</v>
      </c>
      <c r="M36">
        <f>(Prices!M36 / Prices!M35) - 1</f>
        <v>-8.662020994109243E-2</v>
      </c>
      <c r="N36">
        <f>(Prices!N36 / Prices!N35) - 1</f>
        <v>-9.1044138555407494E-2</v>
      </c>
      <c r="O36">
        <f>(Prices!O36 / Prices!O35) - 1</f>
        <v>-5.207761899006047E-2</v>
      </c>
      <c r="P36">
        <f>(Prices!P36 / Prices!P35) - 1</f>
        <v>-5.4632939889497467E-2</v>
      </c>
      <c r="Q36">
        <f>(Prices!Q36 / Prices!Q35) - 1</f>
        <v>-0.13276153438218152</v>
      </c>
      <c r="R36">
        <f>(Prices!R36 / Prices!R35) - 1</f>
        <v>-0.10862191370197993</v>
      </c>
      <c r="S36">
        <f>(Prices!S36 / Prices!S35) - 1</f>
        <v>-3.7589347266064443E-2</v>
      </c>
      <c r="T36">
        <f>(Prices!T36 / Prices!T35) - 1</f>
        <v>-0.21691835191835185</v>
      </c>
      <c r="U36">
        <f>(Prices!U36 / Prices!U35) - 1</f>
        <v>-4.3270337581883922E-2</v>
      </c>
      <c r="V36">
        <f>(Prices!V36 / Prices!V35) - 1</f>
        <v>-8.5379902498136429E-2</v>
      </c>
    </row>
    <row r="37" spans="1:22" x14ac:dyDescent="0.2">
      <c r="A37" t="s">
        <v>36</v>
      </c>
      <c r="B37">
        <f>(Prices!B37 / Prices!B36) - 1</f>
        <v>7.9863454576893256E-2</v>
      </c>
      <c r="C37">
        <f>(Prices!C37 / Prices!C36) - 1</f>
        <v>0.10955017047329263</v>
      </c>
      <c r="D37">
        <f>(Prices!D37 / Prices!D36) - 1</f>
        <v>-3.3085918353056298E-3</v>
      </c>
      <c r="E37">
        <f>(Prices!E37 / Prices!E36) - 1</f>
        <v>-1.1917590460051808E-2</v>
      </c>
      <c r="F37">
        <f>(Prices!F37 / Prices!F36) - 1</f>
        <v>0.11187433000742142</v>
      </c>
      <c r="G37">
        <f>(Prices!G37 / Prices!G36) - 1</f>
        <v>-0.31338443396226423</v>
      </c>
      <c r="H37">
        <f>(Prices!H37 / Prices!H36) - 1</f>
        <v>6.4948987135886371E-2</v>
      </c>
      <c r="I37">
        <f>(Prices!I37 / Prices!I36) - 1</f>
        <v>6.3757113125488374E-2</v>
      </c>
      <c r="J37">
        <f>(Prices!J37 / Prices!J36) - 1</f>
        <v>9.921966251646408E-2</v>
      </c>
      <c r="K37">
        <f>(Prices!K37 / Prices!K36) - 1</f>
        <v>0.17510973520364592</v>
      </c>
      <c r="L37">
        <f>(Prices!L37 / Prices!L36) - 1</f>
        <v>0.10192837465564741</v>
      </c>
      <c r="M37">
        <f>(Prices!M37 / Prices!M36) - 1</f>
        <v>0.26915567809339724</v>
      </c>
      <c r="N37">
        <f>(Prices!N37 / Prices!N36) - 1</f>
        <v>0.25913430176688856</v>
      </c>
      <c r="O37">
        <f>(Prices!O37 / Prices!O36) - 1</f>
        <v>0.23207454634624813</v>
      </c>
      <c r="P37">
        <f>(Prices!P37 / Prices!P36) - 1</f>
        <v>0.44930501401711109</v>
      </c>
      <c r="Q37">
        <f>(Prices!Q37 / Prices!Q36) - 1</f>
        <v>0.18144920635438311</v>
      </c>
      <c r="R37">
        <f>(Prices!R37 / Prices!R36) - 1</f>
        <v>-9.3451327433628384E-2</v>
      </c>
      <c r="S37">
        <f>(Prices!S37 / Prices!S36) - 1</f>
        <v>-0.14216776625824701</v>
      </c>
      <c r="T37">
        <f>(Prices!T37 / Prices!T36) - 1</f>
        <v>0.1150138115046393</v>
      </c>
      <c r="U37">
        <f>(Prices!U37 / Prices!U36) - 1</f>
        <v>7.3165840871223242E-2</v>
      </c>
      <c r="V37">
        <f>(Prices!V37 / Prices!V36) - 1</f>
        <v>0.1816751507966945</v>
      </c>
    </row>
    <row r="38" spans="1:22" x14ac:dyDescent="0.2">
      <c r="A38" t="s">
        <v>37</v>
      </c>
      <c r="B38">
        <f>(Prices!B38 / Prices!B37) - 1</f>
        <v>5.3752860293699856E-2</v>
      </c>
      <c r="C38">
        <f>(Prices!C38 / Prices!C37) - 1</f>
        <v>-3.3028032195392631E-2</v>
      </c>
      <c r="D38">
        <f>(Prices!D38 / Prices!D37) - 1</f>
        <v>0.1022306138579081</v>
      </c>
      <c r="E38">
        <f>(Prices!E38 / Prices!E37) - 1</f>
        <v>6.8560997443948946E-2</v>
      </c>
      <c r="F38">
        <f>(Prices!F38 / Prices!F37) - 1</f>
        <v>0.2541513086170708</v>
      </c>
      <c r="G38">
        <f>(Prices!G38 / Prices!G37) - 1</f>
        <v>0.26771146414770297</v>
      </c>
      <c r="H38">
        <f>(Prices!H38 / Prices!H37) - 1</f>
        <v>2.977078922096088E-2</v>
      </c>
      <c r="I38">
        <f>(Prices!I38 / Prices!I37) - 1</f>
        <v>8.6136966356403777E-2</v>
      </c>
      <c r="J38">
        <f>(Prices!J38 / Prices!J37) - 1</f>
        <v>-1.3310649650136286E-2</v>
      </c>
      <c r="K38">
        <f>(Prices!K38 / Prices!K37) - 1</f>
        <v>8.8126605839952799E-2</v>
      </c>
      <c r="L38">
        <f>(Prices!L38 / Prices!L37) - 1</f>
        <v>0.10095628415300539</v>
      </c>
      <c r="M38">
        <f>(Prices!M38 / Prices!M37) - 1</f>
        <v>1.2872413008869765E-2</v>
      </c>
      <c r="N38">
        <f>(Prices!N38 / Prices!N37) - 1</f>
        <v>2.1163048503991533E-2</v>
      </c>
      <c r="O38">
        <f>(Prices!O38 / Prices!O37) - 1</f>
        <v>-1.6718414139001658E-2</v>
      </c>
      <c r="P38">
        <f>(Prices!P38 / Prices!P37) - 1</f>
        <v>-9.2261170081461286E-3</v>
      </c>
      <c r="Q38">
        <f>(Prices!Q38 / Prices!Q37) - 1</f>
        <v>-4.2838076020090377E-2</v>
      </c>
      <c r="R38">
        <f>(Prices!R38 / Prices!R37) - 1</f>
        <v>-5.7594689574384961E-2</v>
      </c>
      <c r="S38">
        <f>(Prices!S38 / Prices!S37) - 1</f>
        <v>-0.14432627230377082</v>
      </c>
      <c r="T38">
        <f>(Prices!T38 / Prices!T37) - 1</f>
        <v>0.1835309600806958</v>
      </c>
      <c r="U38">
        <f>(Prices!U38 / Prices!U37) - 1</f>
        <v>0.10070018923115076</v>
      </c>
      <c r="V38">
        <f>(Prices!V38 / Prices!V37) - 1</f>
        <v>6.1113918261519462E-3</v>
      </c>
    </row>
    <row r="39" spans="1:22" x14ac:dyDescent="0.2">
      <c r="A39" t="s">
        <v>38</v>
      </c>
      <c r="B39">
        <f>(Prices!B39 / Prices!B38) - 1</f>
        <v>-5.8971449299161094E-2</v>
      </c>
      <c r="C39">
        <f>(Prices!C39 / Prices!C38) - 1</f>
        <v>-0.12226641517686287</v>
      </c>
      <c r="D39">
        <f>(Prices!D39 / Prices!D38) - 1</f>
        <v>-6.0046529786233815E-2</v>
      </c>
      <c r="E39">
        <f>(Prices!E39 / Prices!E38) - 1</f>
        <v>-0.12634732919254665</v>
      </c>
      <c r="F39">
        <f>(Prices!F39 / Prices!F38) - 1</f>
        <v>-0.13643513535888718</v>
      </c>
      <c r="G39">
        <f>(Prices!G39 / Prices!G38) - 1</f>
        <v>1.8966977138018759E-2</v>
      </c>
      <c r="H39">
        <f>(Prices!H39 / Prices!H38) - 1</f>
        <v>-7.5842696629213613E-3</v>
      </c>
      <c r="I39">
        <f>(Prices!I39 / Prices!I38) - 1</f>
        <v>2.2142429682824538E-2</v>
      </c>
      <c r="J39">
        <f>(Prices!J39 / Prices!J38) - 1</f>
        <v>-2.9113273873285439E-2</v>
      </c>
      <c r="K39">
        <f>(Prices!K39 / Prices!K38) - 1</f>
        <v>1.4219656527237445E-2</v>
      </c>
      <c r="L39">
        <f>(Prices!L39 / Prices!L38) - 1</f>
        <v>2.6678247921578802E-3</v>
      </c>
      <c r="M39">
        <f>(Prices!M39 / Prices!M38) - 1</f>
        <v>-9.3407580384409217E-3</v>
      </c>
      <c r="N39">
        <f>(Prices!N39 / Prices!N38) - 1</f>
        <v>-2.0839015874747679E-2</v>
      </c>
      <c r="O39">
        <f>(Prices!O39 / Prices!O38) - 1</f>
        <v>-4.4611772326127452E-2</v>
      </c>
      <c r="P39">
        <f>(Prices!P39 / Prices!P38) - 1</f>
        <v>4.0596094552929118E-2</v>
      </c>
      <c r="Q39">
        <f>(Prices!Q39 / Prices!Q38) - 1</f>
        <v>-9.1685148280705286E-2</v>
      </c>
      <c r="R39">
        <f>(Prices!R39 / Prices!R38) - 1</f>
        <v>-0.1298943443132381</v>
      </c>
      <c r="S39">
        <f>(Prices!S39 / Prices!S38) - 1</f>
        <v>-0.36733436055469948</v>
      </c>
      <c r="T39">
        <f>(Prices!T39 / Prices!T38) - 1</f>
        <v>7.0011156427748578E-2</v>
      </c>
      <c r="U39">
        <f>(Prices!U39 / Prices!U38) - 1</f>
        <v>-2.5093367079230822E-2</v>
      </c>
      <c r="V39">
        <f>(Prices!V39 / Prices!V38) - 1</f>
        <v>-3.3945525862385195E-2</v>
      </c>
    </row>
    <row r="40" spans="1:22" x14ac:dyDescent="0.2">
      <c r="A40" t="s">
        <v>39</v>
      </c>
      <c r="B40">
        <f>(Prices!B40 / Prices!B39) - 1</f>
        <v>6.1752832400052027E-2</v>
      </c>
      <c r="C40">
        <f>(Prices!C40 / Prices!C39) - 1</f>
        <v>0.11052111151770894</v>
      </c>
      <c r="D40">
        <f>(Prices!D40 / Prices!D39) - 1</f>
        <v>3.3316521790725862E-2</v>
      </c>
      <c r="E40">
        <f>(Prices!E40 / Prices!E39) - 1</f>
        <v>0.12025416527795629</v>
      </c>
      <c r="F40">
        <f>(Prices!F40 / Prices!F39) - 1</f>
        <v>0.33687360477696959</v>
      </c>
      <c r="G40">
        <f>(Prices!G40 / Prices!G39) - 1</f>
        <v>0.23790925710486954</v>
      </c>
      <c r="H40">
        <f>(Prices!H40 / Prices!H39) - 1</f>
        <v>-7.4893857911123796E-2</v>
      </c>
      <c r="I40">
        <f>(Prices!I40 / Prices!I39) - 1</f>
        <v>-0.13817330210772849</v>
      </c>
      <c r="J40">
        <f>(Prices!J40 / Prices!J39) - 1</f>
        <v>-5.845425259506043E-2</v>
      </c>
      <c r="K40">
        <f>(Prices!K40 / Prices!K39) - 1</f>
        <v>-3.1904970398431431E-2</v>
      </c>
      <c r="L40">
        <f>(Prices!L40 / Prices!L39) - 1</f>
        <v>-8.5762019677000256E-2</v>
      </c>
      <c r="M40">
        <f>(Prices!M40 / Prices!M39) - 1</f>
        <v>5.1767905711695539E-2</v>
      </c>
      <c r="N40">
        <f>(Prices!N40 / Prices!N39) - 1</f>
        <v>-3.0475235389158195E-2</v>
      </c>
      <c r="O40">
        <f>(Prices!O40 / Prices!O39) - 1</f>
        <v>3.2796610169491647E-2</v>
      </c>
      <c r="P40">
        <f>(Prices!P40 / Prices!P39) - 1</f>
        <v>6.5843621399176877E-2</v>
      </c>
      <c r="Q40">
        <f>(Prices!Q40 / Prices!Q39) - 1</f>
        <v>2.857596443879995E-2</v>
      </c>
      <c r="R40">
        <f>(Prices!R40 / Prices!R39) - 1</f>
        <v>0.22773809523809518</v>
      </c>
      <c r="S40">
        <f>(Prices!S40 / Prices!S39) - 1</f>
        <v>0.40623477837311239</v>
      </c>
      <c r="T40">
        <f>(Prices!T40 / Prices!T39) - 1</f>
        <v>8.8197589949576827E-2</v>
      </c>
      <c r="U40">
        <f>(Prices!U40 / Prices!U39) - 1</f>
        <v>2.6309124295573971E-2</v>
      </c>
      <c r="V40">
        <f>(Prices!V40 / Prices!V39) - 1</f>
        <v>1.4685235077600334E-2</v>
      </c>
    </row>
    <row r="41" spans="1:22" x14ac:dyDescent="0.2">
      <c r="A41" t="s">
        <v>40</v>
      </c>
      <c r="B41">
        <f>(Prices!B41 / Prices!B40) - 1</f>
        <v>-2.6112446646715304E-2</v>
      </c>
      <c r="C41">
        <f>(Prices!C41 / Prices!C40) - 1</f>
        <v>2.3178529362274825E-2</v>
      </c>
      <c r="D41">
        <f>(Prices!D41 / Prices!D40) - 1</f>
        <v>9.0193183216438211E-3</v>
      </c>
      <c r="E41">
        <f>(Prices!E41 / Prices!E40) - 1</f>
        <v>-8.8829544185290876E-2</v>
      </c>
      <c r="F41">
        <f>(Prices!F41 / Prices!F40) - 1</f>
        <v>0.18830706503644445</v>
      </c>
      <c r="G41">
        <f>(Prices!G41 / Prices!G40) - 1</f>
        <v>0.17433040209438144</v>
      </c>
      <c r="H41">
        <f>(Prices!H41 / Prices!H40) - 1</f>
        <v>-6.2171092889487189E-2</v>
      </c>
      <c r="I41">
        <f>(Prices!I41 / Prices!I40) - 1</f>
        <v>-8.1295289855072395E-2</v>
      </c>
      <c r="J41">
        <f>(Prices!J41 / Prices!J40) - 1</f>
        <v>-4.6573951840649719E-2</v>
      </c>
      <c r="K41">
        <f>(Prices!K41 / Prices!K40) - 1</f>
        <v>-1.0883885556975725E-2</v>
      </c>
      <c r="L41">
        <f>(Prices!L41 / Prices!L40) - 1</f>
        <v>4.1624365482233472E-2</v>
      </c>
      <c r="M41">
        <f>(Prices!M41 / Prices!M40) - 1</f>
        <v>-5.2581673993621347E-2</v>
      </c>
      <c r="N41">
        <f>(Prices!N41 / Prices!N40) - 1</f>
        <v>-7.6140673485806221E-2</v>
      </c>
      <c r="O41">
        <f>(Prices!O41 / Prices!O40) - 1</f>
        <v>-0.15196520882908027</v>
      </c>
      <c r="P41">
        <f>(Prices!P41 / Prices!P40) - 1</f>
        <v>-6.6163566163566112E-2</v>
      </c>
      <c r="Q41">
        <f>(Prices!Q41 / Prices!Q40) - 1</f>
        <v>-9.6156814323198114E-2</v>
      </c>
      <c r="R41">
        <f>(Prices!R41 / Prices!R40) - 1</f>
        <v>-8.6298846116551808E-2</v>
      </c>
      <c r="S41">
        <f>(Prices!S41 / Prices!S40) - 1</f>
        <v>0.18756494631104959</v>
      </c>
      <c r="T41">
        <f>(Prices!T41 / Prices!T40) - 1</f>
        <v>-6.7069818581638185E-2</v>
      </c>
      <c r="U41">
        <f>(Prices!U41 / Prices!U40) - 1</f>
        <v>-8.5233056729493772E-2</v>
      </c>
      <c r="V41">
        <f>(Prices!V41 / Prices!V40) - 1</f>
        <v>-1.3051608077785937E-2</v>
      </c>
    </row>
    <row r="42" spans="1:22" x14ac:dyDescent="0.2">
      <c r="A42" t="s">
        <v>41</v>
      </c>
      <c r="B42">
        <f>(Prices!B42 / Prices!B41) - 1</f>
        <v>3.5051572358727023E-2</v>
      </c>
      <c r="C42">
        <f>(Prices!C42 / Prices!C41) - 1</f>
        <v>0.11865997889514723</v>
      </c>
      <c r="D42">
        <f>(Prices!D42 / Prices!D41) - 1</f>
        <v>0.15587234613367817</v>
      </c>
      <c r="E42">
        <f>(Prices!E42 / Prices!E41) - 1</f>
        <v>0.15179395284772457</v>
      </c>
      <c r="F42">
        <f>(Prices!F42 / Prices!F41) - 1</f>
        <v>0.19665764336701264</v>
      </c>
      <c r="G42">
        <f>(Prices!G42 / Prices!G41) - 1</f>
        <v>0.21150108608665819</v>
      </c>
      <c r="H42">
        <f>(Prices!H42 / Prices!H41) - 1</f>
        <v>1.1353255904998028E-2</v>
      </c>
      <c r="I42">
        <f>(Prices!I42 / Prices!I41) - 1</f>
        <v>5.6692137047078539E-3</v>
      </c>
      <c r="J42">
        <f>(Prices!J42 / Prices!J41) - 1</f>
        <v>-3.5009541085821994E-3</v>
      </c>
      <c r="K42">
        <f>(Prices!K42 / Prices!K41) - 1</f>
        <v>8.359591662276511E-3</v>
      </c>
      <c r="L42">
        <f>(Prices!L42 / Prices!L41) - 1</f>
        <v>3.5542560103963616E-2</v>
      </c>
      <c r="M42">
        <f>(Prices!M42 / Prices!M41) - 1</f>
        <v>-2.2745882995177658E-3</v>
      </c>
      <c r="N42">
        <f>(Prices!N42 / Prices!N41) - 1</f>
        <v>1.4865957579150324E-2</v>
      </c>
      <c r="O42">
        <f>(Prices!O42 / Prices!O41) - 1</f>
        <v>-4.00580551523948E-2</v>
      </c>
      <c r="P42">
        <f>(Prices!P42 / Prices!P41) - 1</f>
        <v>-7.7241120090208559E-2</v>
      </c>
      <c r="Q42">
        <f>(Prices!Q42 / Prices!Q41) - 1</f>
        <v>6.6086065573770503E-2</v>
      </c>
      <c r="R42">
        <f>(Prices!R42 / Prices!R41) - 1</f>
        <v>9.6147723654887107E-2</v>
      </c>
      <c r="S42">
        <f>(Prices!S42 / Prices!S41) - 1</f>
        <v>8.5071216761460899E-3</v>
      </c>
      <c r="T42">
        <f>(Prices!T42 / Prices!T41) - 1</f>
        <v>3.2410135533293971E-2</v>
      </c>
      <c r="U42">
        <f>(Prices!U42 / Prices!U41) - 1</f>
        <v>-4.7885614082417982E-3</v>
      </c>
      <c r="V42">
        <f>(Prices!V42 / Prices!V41) - 1</f>
        <v>5.9489977643893743E-2</v>
      </c>
    </row>
    <row r="43" spans="1:22" x14ac:dyDescent="0.2">
      <c r="A43" t="s">
        <v>42</v>
      </c>
      <c r="B43">
        <f>(Prices!B43 / Prices!B42) - 1</f>
        <v>1.464236088297044E-2</v>
      </c>
      <c r="C43">
        <f>(Prices!C43 / Prices!C42) - 1</f>
        <v>2.8973078925607298E-2</v>
      </c>
      <c r="D43">
        <f>(Prices!D43 / Prices!D42) - 1</f>
        <v>6.5762866838986467E-2</v>
      </c>
      <c r="E43">
        <f>(Prices!E43 / Prices!E42) - 1</f>
        <v>3.4792368125701412E-2</v>
      </c>
      <c r="F43">
        <f>(Prices!F43 / Prices!F42) - 1</f>
        <v>-1.0085910343462512E-3</v>
      </c>
      <c r="G43">
        <f>(Prices!G43 / Prices!G42) - 1</f>
        <v>0.13390582240256665</v>
      </c>
      <c r="H43">
        <f>(Prices!H43 / Prices!H42) - 1</f>
        <v>5.6129032258064537E-2</v>
      </c>
      <c r="I43">
        <f>(Prices!I43 / Prices!I42) - 1</f>
        <v>-4.6813725490196023E-2</v>
      </c>
      <c r="J43">
        <f>(Prices!J43 / Prices!J42) - 1</f>
        <v>4.1266442269852321E-2</v>
      </c>
      <c r="K43">
        <f>(Prices!K43 / Prices!K42) - 1</f>
        <v>8.5357438586806333E-2</v>
      </c>
      <c r="L43">
        <f>(Prices!L43 / Prices!L42) - 1</f>
        <v>-5.1766329924076038E-2</v>
      </c>
      <c r="M43">
        <f>(Prices!M43 / Prices!M42) - 1</f>
        <v>7.9153747948203623E-2</v>
      </c>
      <c r="N43">
        <f>(Prices!N43 / Prices!N42) - 1</f>
        <v>3.3218926207403854E-2</v>
      </c>
      <c r="O43">
        <f>(Prices!O43 / Prices!O42) - 1</f>
        <v>3.7093034976313E-2</v>
      </c>
      <c r="P43">
        <f>(Prices!P43 / Prices!P42) - 1</f>
        <v>5.0916496945010437E-3</v>
      </c>
      <c r="Q43">
        <f>(Prices!Q43 / Prices!Q42) - 1</f>
        <v>-1.4416146083613635E-2</v>
      </c>
      <c r="R43">
        <f>(Prices!R43 / Prices!R42) - 1</f>
        <v>2.091199535288979E-2</v>
      </c>
      <c r="S43">
        <f>(Prices!S43 / Prices!S42) - 1</f>
        <v>-0.2079919020534079</v>
      </c>
      <c r="T43">
        <f>(Prices!T43 / Prices!T42) - 1</f>
        <v>3.3268101761252389E-2</v>
      </c>
      <c r="U43">
        <f>(Prices!U43 / Prices!U42) - 1</f>
        <v>1.8365410680401206E-2</v>
      </c>
      <c r="V43">
        <f>(Prices!V43 / Prices!V42) - 1</f>
        <v>5.7723257394227678E-2</v>
      </c>
    </row>
    <row r="44" spans="1:22" x14ac:dyDescent="0.2">
      <c r="A44" t="s">
        <v>43</v>
      </c>
      <c r="B44">
        <f>(Prices!B44 / Prices!B43) - 1</f>
        <v>2.4823239348792381E-3</v>
      </c>
      <c r="C44">
        <f>(Prices!C44 / Prices!C43) - 1</f>
        <v>4.6063636634223304E-2</v>
      </c>
      <c r="D44">
        <f>(Prices!D44 / Prices!D43) - 1</f>
        <v>7.1105904868753234E-2</v>
      </c>
      <c r="E44">
        <f>(Prices!E44 / Prices!E43) - 1</f>
        <v>0.14468172638192844</v>
      </c>
      <c r="F44">
        <f>(Prices!F44 / Prices!F43) - 1</f>
        <v>0.36344132547280372</v>
      </c>
      <c r="G44">
        <f>(Prices!G44 / Prices!G43) - 1</f>
        <v>0.10153129161118524</v>
      </c>
      <c r="H44">
        <f>(Prices!H44 / Prices!H43) - 1</f>
        <v>-5.277947464874766E-2</v>
      </c>
      <c r="I44">
        <f>(Prices!I44 / Prices!I43) - 1</f>
        <v>-2.2370789406016889E-2</v>
      </c>
      <c r="J44">
        <f>(Prices!J44 / Prices!J43) - 1</f>
        <v>-9.8581349143510577E-3</v>
      </c>
      <c r="K44">
        <f>(Prices!K44 / Prices!K43) - 1</f>
        <v>-4.3831684876887933E-2</v>
      </c>
      <c r="L44">
        <f>(Prices!L44 / Prices!L43) - 1</f>
        <v>-8.7083112758073011E-2</v>
      </c>
      <c r="M44">
        <f>(Prices!M44 / Prices!M43) - 1</f>
        <v>-0.13655568700354903</v>
      </c>
      <c r="N44">
        <f>(Prices!N44 / Prices!N43) - 1</f>
        <v>-0.10653695574801281</v>
      </c>
      <c r="O44">
        <f>(Prices!O44 / Prices!O43) - 1</f>
        <v>-3.4891631839829018E-2</v>
      </c>
      <c r="P44">
        <f>(Prices!P44 / Prices!P43) - 1</f>
        <v>-0.13211752786220876</v>
      </c>
      <c r="Q44">
        <f>(Prices!Q44 / Prices!Q43) - 1</f>
        <v>-6.2896148220380366E-2</v>
      </c>
      <c r="R44">
        <f>(Prices!R44 / Prices!R43) - 1</f>
        <v>0.14348032242769082</v>
      </c>
      <c r="S44">
        <f>(Prices!S44 / Prices!S43) - 1</f>
        <v>0.24112957215020381</v>
      </c>
      <c r="T44">
        <f>(Prices!T44 / Prices!T43) - 1</f>
        <v>-0.1693497474747474</v>
      </c>
      <c r="U44">
        <f>(Prices!U44 / Prices!U43) - 1</f>
        <v>-5.6864310907034143E-2</v>
      </c>
      <c r="V44">
        <f>(Prices!V44 / Prices!V43) - 1</f>
        <v>-3.5976331360946689E-2</v>
      </c>
    </row>
    <row r="45" spans="1:22" x14ac:dyDescent="0.2">
      <c r="A45" t="s">
        <v>44</v>
      </c>
      <c r="B45">
        <f>(Prices!B45 / Prices!B44) - 1</f>
        <v>6.4727512841431301E-2</v>
      </c>
      <c r="C45">
        <f>(Prices!C45 / Prices!C44) - 1</f>
        <v>9.4324590406491993E-2</v>
      </c>
      <c r="D45">
        <f>(Prices!D45 / Prices!D44) - 1</f>
        <v>3.7005089278012493E-2</v>
      </c>
      <c r="E45">
        <f>(Prices!E45 / Prices!E44) - 1</f>
        <v>-2.5795174227696727E-2</v>
      </c>
      <c r="F45">
        <f>(Prices!F45 / Prices!F44) - 1</f>
        <v>0.1182080236955545</v>
      </c>
      <c r="G45">
        <f>(Prices!G45 / Prices!G44) - 1</f>
        <v>8.4088848594741528E-2</v>
      </c>
      <c r="H45">
        <f>(Prices!H45 / Prices!H44) - 1</f>
        <v>6.7457758287114755E-2</v>
      </c>
      <c r="I45">
        <f>(Prices!I45 / Prices!I44) - 1</f>
        <v>-3.5244608100999608E-2</v>
      </c>
      <c r="J45">
        <f>(Prices!J45 / Prices!J44) - 1</f>
        <v>-9.4978142659132292E-3</v>
      </c>
      <c r="K45">
        <f>(Prices!K45 / Prices!K44) - 1</f>
        <v>5.2100648764687341E-2</v>
      </c>
      <c r="L45">
        <f>(Prices!L45 / Prices!L44) - 1</f>
        <v>-2.3412583357495076E-2</v>
      </c>
      <c r="M45">
        <f>(Prices!M45 / Prices!M44) - 1</f>
        <v>4.961832061068705E-2</v>
      </c>
      <c r="N45">
        <f>(Prices!N45 / Prices!N44) - 1</f>
        <v>4.4681981144602201E-2</v>
      </c>
      <c r="O45">
        <f>(Prices!O45 / Prices!O44) - 1</f>
        <v>4.3403826787512534E-2</v>
      </c>
      <c r="P45">
        <f>(Prices!P45 / Prices!P44) - 1</f>
        <v>0.14685967779593745</v>
      </c>
      <c r="Q45">
        <f>(Prices!Q45 / Prices!Q44) - 1</f>
        <v>1.9771071800208206E-2</v>
      </c>
      <c r="R45">
        <f>(Prices!R45 / Prices!R44) - 1</f>
        <v>8.1107978105821932E-2</v>
      </c>
      <c r="S45">
        <f>(Prices!S45 / Prices!S44) - 1</f>
        <v>0.28362673466385502</v>
      </c>
      <c r="T45">
        <f>(Prices!T45 / Prices!T44) - 1</f>
        <v>4.8546456393691706E-2</v>
      </c>
      <c r="U45">
        <f>(Prices!U45 / Prices!U44) - 1</f>
        <v>9.5925207267595791E-2</v>
      </c>
      <c r="V45">
        <f>(Prices!V45 / Prices!V44) - 1</f>
        <v>4.6648661919960865E-2</v>
      </c>
    </row>
    <row r="46" spans="1:22" x14ac:dyDescent="0.2">
      <c r="A46" t="s">
        <v>45</v>
      </c>
      <c r="B46">
        <f>(Prices!B46 / Prices!B45) - 1</f>
        <v>3.1138913980379268E-2</v>
      </c>
      <c r="C46">
        <f>(Prices!C46 / Prices!C45) - 1</f>
        <v>1.278744448720226E-2</v>
      </c>
      <c r="D46">
        <f>(Prices!D46 / Prices!D45) - 1</f>
        <v>-1.3570359103548202E-2</v>
      </c>
      <c r="E46">
        <f>(Prices!E46 / Prices!E45) - 1</f>
        <v>0.10876345708823831</v>
      </c>
      <c r="F46">
        <f>(Prices!F46 / Prices!F45) - 1</f>
        <v>0.10465248280624739</v>
      </c>
      <c r="G46">
        <f>(Prices!G46 / Prices!G45) - 1</f>
        <v>0.11018189420865565</v>
      </c>
      <c r="H46">
        <f>(Prices!H46 / Prices!H45) - 1</f>
        <v>1.2143547607539773E-2</v>
      </c>
      <c r="I46">
        <f>(Prices!I46 / Prices!I45) - 1</f>
        <v>-1.6902944383860308E-2</v>
      </c>
      <c r="J46">
        <f>(Prices!J46 / Prices!J45) - 1</f>
        <v>5.3533291998208998E-2</v>
      </c>
      <c r="K46">
        <f>(Prices!K46 / Prices!K45) - 1</f>
        <v>-7.5738971849551251E-2</v>
      </c>
      <c r="L46">
        <f>(Prices!L46 / Prices!L45) - 1</f>
        <v>0.11022044088176375</v>
      </c>
      <c r="M46">
        <f>(Prices!M46 / Prices!M45) - 1</f>
        <v>-9.3240093240187782E-5</v>
      </c>
      <c r="N46">
        <f>(Prices!N46 / Prices!N45) - 1</f>
        <v>4.0101684143628802E-2</v>
      </c>
      <c r="O46">
        <f>(Prices!O46 / Prices!O45) - 1</f>
        <v>0.13618376604574856</v>
      </c>
      <c r="P46">
        <f>(Prices!P46 / Prices!P45) - 1</f>
        <v>0.18770358306188939</v>
      </c>
      <c r="Q46">
        <f>(Prices!Q46 / Prices!Q45) - 1</f>
        <v>7.3639455782313012E-2</v>
      </c>
      <c r="R46">
        <f>(Prices!R46 / Prices!R45) - 1</f>
        <v>2.5467934949370941E-2</v>
      </c>
      <c r="S46">
        <f>(Prices!S46 / Prices!S45) - 1</f>
        <v>2.1622034610536023E-2</v>
      </c>
      <c r="T46">
        <f>(Prices!T46 / Prices!T45) - 1</f>
        <v>1.8120866177406825E-4</v>
      </c>
      <c r="U46">
        <f>(Prices!U46 / Prices!U45) - 1</f>
        <v>7.4684522276590171E-2</v>
      </c>
      <c r="V46">
        <f>(Prices!V46 / Prices!V45) - 1</f>
        <v>-1.7459200428940225E-2</v>
      </c>
    </row>
    <row r="47" spans="1:22" x14ac:dyDescent="0.2">
      <c r="A47" t="s">
        <v>46</v>
      </c>
      <c r="B47">
        <f>(Prices!B47 / Prices!B46) - 1</f>
        <v>-1.771643248143373E-2</v>
      </c>
      <c r="C47">
        <f>(Prices!C47 / Prices!C46) - 1</f>
        <v>-4.2375883793650648E-2</v>
      </c>
      <c r="D47">
        <f>(Prices!D47 / Prices!D46) - 1</f>
        <v>-2.2225702308100059E-2</v>
      </c>
      <c r="E47">
        <f>(Prices!E47 / Prices!E46) - 1</f>
        <v>2.6005747126436773E-2</v>
      </c>
      <c r="F47">
        <f>(Prices!F47 / Prices!F46) - 1</f>
        <v>5.6196181365853359E-2</v>
      </c>
      <c r="G47">
        <f>(Prices!G47 / Prices!G46) - 1</f>
        <v>-7.1280602636534907E-2</v>
      </c>
      <c r="H47">
        <f>(Prices!H47 / Prices!H46) - 1</f>
        <v>-3.4919118963767648E-2</v>
      </c>
      <c r="I47">
        <f>(Prices!I47 / Prices!I46) - 1</f>
        <v>-1.8857459789240139E-2</v>
      </c>
      <c r="J47">
        <f>(Prices!J47 / Prices!J46) - 1</f>
        <v>-5.8831703319832784E-2</v>
      </c>
      <c r="K47">
        <f>(Prices!K47 / Prices!K46) - 1</f>
        <v>2.1851464741679871E-2</v>
      </c>
      <c r="L47">
        <f>(Prices!L47 / Prices!L46) - 1</f>
        <v>-1.7515710656504924E-2</v>
      </c>
      <c r="M47">
        <f>(Prices!M47 / Prices!M46) - 1</f>
        <v>3.6833271167474813E-2</v>
      </c>
      <c r="N47">
        <f>(Prices!N47 / Prices!N46) - 1</f>
        <v>-1.5642185017719634E-2</v>
      </c>
      <c r="O47">
        <f>(Prices!O47 / Prices!O46) - 1</f>
        <v>1.1128100577641797E-2</v>
      </c>
      <c r="P47">
        <f>(Prices!P47 / Prices!P46) - 1</f>
        <v>1.0627356873500027E-2</v>
      </c>
      <c r="Q47">
        <f>(Prices!Q47 / Prices!Q46) - 1</f>
        <v>-5.3857120228101296E-3</v>
      </c>
      <c r="R47">
        <f>(Prices!R47 / Prices!R46) - 1</f>
        <v>3.2390783961699476E-2</v>
      </c>
      <c r="S47">
        <f>(Prices!S47 / Prices!S46) - 1</f>
        <v>-3.4962420072542466E-2</v>
      </c>
      <c r="T47">
        <f>(Prices!T47 / Prices!T46) - 1</f>
        <v>-7.8630310716550467E-2</v>
      </c>
      <c r="U47">
        <f>(Prices!U47 / Prices!U46) - 1</f>
        <v>-1.0603882099209039E-2</v>
      </c>
      <c r="V47">
        <f>(Prices!V47 / Prices!V46) - 1</f>
        <v>-4.1098226466575793E-2</v>
      </c>
    </row>
    <row r="48" spans="1:22" x14ac:dyDescent="0.2">
      <c r="A48" t="s">
        <v>47</v>
      </c>
      <c r="B48">
        <f>(Prices!B48 / Prices!B47) - 1</f>
        <v>-4.871929116215501E-2</v>
      </c>
      <c r="C48">
        <f>(Prices!C48 / Prices!C47) - 1</f>
        <v>-8.867906318363139E-2</v>
      </c>
      <c r="D48">
        <f>(Prices!D48 / Prices!D47) - 1</f>
        <v>-3.6643586679315443E-2</v>
      </c>
      <c r="E48">
        <f>(Prices!E48 / Prices!E47) - 1</f>
        <v>-3.8996454867739283E-2</v>
      </c>
      <c r="F48">
        <f>(Prices!F48 / Prices!F47) - 1</f>
        <v>-0.11857676262755257</v>
      </c>
      <c r="G48">
        <f>(Prices!G48 / Prices!G47) - 1</f>
        <v>1.4600020277805825E-2</v>
      </c>
      <c r="H48">
        <f>(Prices!H48 / Prices!H47) - 1</f>
        <v>-3.667738743196447E-2</v>
      </c>
      <c r="I48">
        <f>(Prices!I48 / Prices!I47) - 1</f>
        <v>-6.2464669304691967E-2</v>
      </c>
      <c r="J48">
        <f>(Prices!J48 / Prices!J47) - 1</f>
        <v>6.2055444099945234E-2</v>
      </c>
      <c r="K48">
        <f>(Prices!K48 / Prices!K47) - 1</f>
        <v>-4.8899722779848886E-2</v>
      </c>
      <c r="L48">
        <f>(Prices!L48 / Prices!L47) - 1</f>
        <v>1.4289602612955976E-2</v>
      </c>
      <c r="M48">
        <f>(Prices!M48 / Prices!M47) - 1</f>
        <v>5.7469196870222117E-2</v>
      </c>
      <c r="N48">
        <f>(Prices!N48 / Prices!N47) - 1</f>
        <v>4.6679081315952997E-2</v>
      </c>
      <c r="O48">
        <f>(Prices!O48 / Prices!O47) - 1</f>
        <v>6.4689574056959742E-3</v>
      </c>
      <c r="P48">
        <f>(Prices!P48 / Prices!P47) - 1</f>
        <v>-1.1194029850746356E-2</v>
      </c>
      <c r="Q48">
        <f>(Prices!Q48 / Prices!Q47) - 1</f>
        <v>3.3285555024685332E-2</v>
      </c>
      <c r="R48">
        <f>(Prices!R48 / Prices!R47) - 1</f>
        <v>-7.8907325556119012E-2</v>
      </c>
      <c r="S48">
        <f>(Prices!S48 / Prices!S47) - 1</f>
        <v>-3.0455672659640332E-2</v>
      </c>
      <c r="T48">
        <f>(Prices!T48 / Prices!T47) - 1</f>
        <v>-5.9876118375774112E-2</v>
      </c>
      <c r="U48">
        <f>(Prices!U48 / Prices!U47) - 1</f>
        <v>-8.5195277020890026E-2</v>
      </c>
      <c r="V48">
        <f>(Prices!V48 / Prices!V47) - 1</f>
        <v>-6.2991285790503171E-2</v>
      </c>
    </row>
    <row r="49" spans="1:22" x14ac:dyDescent="0.2">
      <c r="A49" t="s">
        <v>48</v>
      </c>
      <c r="B49">
        <f>(Prices!B49 / Prices!B48) - 1</f>
        <v>-2.1979687736850106E-2</v>
      </c>
      <c r="C49">
        <f>(Prices!C49 / Prices!C48) - 1</f>
        <v>-2.5770011472950882E-3</v>
      </c>
      <c r="D49">
        <f>(Prices!D49 / Prices!D48) - 1</f>
        <v>7.081858612211489E-2</v>
      </c>
      <c r="E49">
        <f>(Prices!E49 / Prices!E48) - 1</f>
        <v>-5.1814584164186939E-2</v>
      </c>
      <c r="F49">
        <f>(Prices!F49 / Prices!F48) - 1</f>
        <v>-6.2507330467839184E-2</v>
      </c>
      <c r="G49">
        <f>(Prices!G49 / Prices!G48) - 1</f>
        <v>3.5308617301221812E-3</v>
      </c>
      <c r="H49">
        <f>(Prices!H49 / Prices!H48) - 1</f>
        <v>-4.7576243980738342E-2</v>
      </c>
      <c r="I49">
        <f>(Prices!I49 / Prices!I48) - 1</f>
        <v>-7.8685559240277425E-2</v>
      </c>
      <c r="J49">
        <f>(Prices!J49 / Prices!J48) - 1</f>
        <v>6.2215707559802436E-2</v>
      </c>
      <c r="K49">
        <f>(Prices!K49 / Prices!K48) - 1</f>
        <v>-2.4332978875236666E-3</v>
      </c>
      <c r="L49">
        <f>(Prices!L49 / Prices!L48) - 1</f>
        <v>-5.286461827452027E-2</v>
      </c>
      <c r="M49">
        <f>(Prices!M49 / Prices!M48) - 1</f>
        <v>-9.9761864262629785E-2</v>
      </c>
      <c r="N49">
        <f>(Prices!N49 / Prices!N48) - 1</f>
        <v>-0.13574902146839052</v>
      </c>
      <c r="O49">
        <f>(Prices!O49 / Prices!O48) - 1</f>
        <v>-8.3472454090149917E-3</v>
      </c>
      <c r="P49">
        <f>(Prices!P49 / Prices!P48) - 1</f>
        <v>-4.5283018867924518E-2</v>
      </c>
      <c r="Q49">
        <f>(Prices!Q49 / Prices!Q48) - 1</f>
        <v>-4.7318125770653419E-2</v>
      </c>
      <c r="R49">
        <f>(Prices!R49 / Prices!R48) - 1</f>
        <v>4.6963499056010161E-2</v>
      </c>
      <c r="S49">
        <f>(Prices!S49 / Prices!S48) - 1</f>
        <v>-0.197346335225002</v>
      </c>
      <c r="T49">
        <f>(Prices!T49 / Prices!T48) - 1</f>
        <v>7.4775151641915727E-2</v>
      </c>
      <c r="U49">
        <f>(Prices!U49 / Prices!U48) - 1</f>
        <v>-5.7817050569234918E-2</v>
      </c>
      <c r="V49">
        <f>(Prices!V49 / Prices!V48) - 1</f>
        <v>-4.8208320680229733E-3</v>
      </c>
    </row>
    <row r="50" spans="1:22" x14ac:dyDescent="0.2">
      <c r="A50" t="s">
        <v>49</v>
      </c>
      <c r="B50">
        <f>(Prices!B50 / Prices!B49) - 1</f>
        <v>8.9179264628737709E-2</v>
      </c>
      <c r="C50">
        <f>(Prices!C50 / Prices!C49) - 1</f>
        <v>0.1137812855769289</v>
      </c>
      <c r="D50">
        <f>(Prices!D50 / Prices!D49) - 1</f>
        <v>0.122945411007372</v>
      </c>
      <c r="E50">
        <f>(Prices!E50 / Prices!E49) - 1</f>
        <v>6.8105344894525688E-2</v>
      </c>
      <c r="F50">
        <f>(Prices!F50 / Prices!F49) - 1</f>
        <v>0.14688616922892006</v>
      </c>
      <c r="G50">
        <f>(Prices!G50 / Prices!G49) - 1</f>
        <v>8.5903010588508577E-2</v>
      </c>
      <c r="H50">
        <f>(Prices!H50 / Prices!H49) - 1</f>
        <v>4.2604826749359503E-2</v>
      </c>
      <c r="I50">
        <f>(Prices!I50 / Prices!I49) - 1</f>
        <v>-2.9450261780105125E-3</v>
      </c>
      <c r="J50">
        <f>(Prices!J50 / Prices!J49) - 1</f>
        <v>3.2510498743230087E-2</v>
      </c>
      <c r="K50">
        <f>(Prices!K50 / Prices!K49) - 1</f>
        <v>-2.1379814110474848E-3</v>
      </c>
      <c r="L50">
        <f>(Prices!L50 / Prices!L49) - 1</f>
        <v>8.5706190678564997E-3</v>
      </c>
      <c r="M50">
        <f>(Prices!M50 / Prices!M49) - 1</f>
        <v>-2.938119981105336E-2</v>
      </c>
      <c r="N50">
        <f>(Prices!N50 / Prices!N49) - 1</f>
        <v>-1.4616070815892335E-2</v>
      </c>
      <c r="O50">
        <f>(Prices!O50 / Prices!O49) - 1</f>
        <v>-2.7188552188552206E-2</v>
      </c>
      <c r="P50">
        <f>(Prices!P50 / Prices!P49) - 1</f>
        <v>-6.503772906934957E-2</v>
      </c>
      <c r="Q50">
        <f>(Prices!Q50 / Prices!Q49) - 1</f>
        <v>-4.3035107587769073E-2</v>
      </c>
      <c r="R50">
        <f>(Prices!R50 / Prices!R49) - 1</f>
        <v>9.7678262829664186E-2</v>
      </c>
      <c r="S50">
        <f>(Prices!S50 / Prices!S49) - 1</f>
        <v>0.19537940649273056</v>
      </c>
      <c r="T50">
        <f>(Prices!T50 / Prices!T49) - 1</f>
        <v>7.2978495669942633E-2</v>
      </c>
      <c r="U50">
        <f>(Prices!U50 / Prices!U49) - 1</f>
        <v>0.101162668165373</v>
      </c>
      <c r="V50">
        <f>(Prices!V50 / Prices!V49) - 1</f>
        <v>7.5027653812411721E-2</v>
      </c>
    </row>
    <row r="51" spans="1:22" x14ac:dyDescent="0.2">
      <c r="A51" t="s">
        <v>50</v>
      </c>
      <c r="B51">
        <f>(Prices!B51 / Prices!B50) - 1</f>
        <v>4.4229169403213753E-2</v>
      </c>
      <c r="C51">
        <f>(Prices!C51 / Prices!C50) - 1</f>
        <v>1.3589950004236906E-2</v>
      </c>
      <c r="D51">
        <f>(Prices!D51 / Prices!D50) - 1</f>
        <v>-7.5751532845161895E-3</v>
      </c>
      <c r="E51">
        <f>(Prices!E51 / Prices!E50) - 1</f>
        <v>5.401659952140081E-2</v>
      </c>
      <c r="F51">
        <f>(Prices!F51 / Prices!F50) - 1</f>
        <v>5.8933494750035953E-2</v>
      </c>
      <c r="G51">
        <f>(Prices!G51 / Prices!G50) - 1</f>
        <v>8.1950175760354682E-2</v>
      </c>
      <c r="H51">
        <f>(Prices!H51 / Prices!H50) - 1</f>
        <v>1.3448855554118788E-2</v>
      </c>
      <c r="I51">
        <f>(Prices!I51 / Prices!I50) - 1</f>
        <v>-5.5136199540531616E-2</v>
      </c>
      <c r="J51">
        <f>(Prices!J51 / Prices!J50) - 1</f>
        <v>-4.4674711730956274E-2</v>
      </c>
      <c r="K51">
        <f>(Prices!K51 / Prices!K50) - 1</f>
        <v>7.1523410167376289E-2</v>
      </c>
      <c r="L51">
        <f>(Prices!L51 / Prices!L50) - 1</f>
        <v>8.8348900905962591E-2</v>
      </c>
      <c r="M51">
        <f>(Prices!M51 / Prices!M50) - 1</f>
        <v>-2.6863928362857559E-2</v>
      </c>
      <c r="N51">
        <f>(Prices!N51 / Prices!N50) - 1</f>
        <v>3.8718662952646365E-2</v>
      </c>
      <c r="O51">
        <f>(Prices!O51 / Prices!O50) - 1</f>
        <v>4.3263822791381745E-3</v>
      </c>
      <c r="P51">
        <f>(Prices!P51 / Prices!P50) - 1</f>
        <v>0</v>
      </c>
      <c r="Q51">
        <f>(Prices!Q51 / Prices!Q50) - 1</f>
        <v>9.4674556213019123E-3</v>
      </c>
      <c r="R51">
        <f>(Prices!R51 / Prices!R50) - 1</f>
        <v>4.0043808611130105E-2</v>
      </c>
      <c r="S51">
        <f>(Prices!S51 / Prices!S50) - 1</f>
        <v>3.4988337220926313E-2</v>
      </c>
      <c r="T51">
        <f>(Prices!T51 / Prices!T50) - 1</f>
        <v>-1.5416704452707042E-2</v>
      </c>
      <c r="U51">
        <f>(Prices!U51 / Prices!U50) - 1</f>
        <v>0.10545790934320065</v>
      </c>
      <c r="V51">
        <f>(Prices!V51 / Prices!V50) - 1</f>
        <v>5.2050808969628326E-2</v>
      </c>
    </row>
    <row r="52" spans="1:22" x14ac:dyDescent="0.2">
      <c r="A52" t="s">
        <v>51</v>
      </c>
      <c r="B52">
        <f>(Prices!B52 / Prices!B51) - 1</f>
        <v>1.5895744712075555E-2</v>
      </c>
      <c r="C52">
        <f>(Prices!C52 / Prices!C51) - 1</f>
        <v>-4.2234901923900892E-2</v>
      </c>
      <c r="D52">
        <f>(Prices!D52 / Prices!D51) - 1</f>
        <v>5.7278117288994679E-2</v>
      </c>
      <c r="E52">
        <f>(Prices!E52 / Prices!E51) - 1</f>
        <v>2.9385350432875601E-3</v>
      </c>
      <c r="F52">
        <f>(Prices!F52 / Prices!F51) - 1</f>
        <v>0.24241536721337975</v>
      </c>
      <c r="G52">
        <f>(Prices!G52 / Prices!G51) - 1</f>
        <v>0.1022149395411911</v>
      </c>
      <c r="H52">
        <f>(Prices!H52 / Prices!H51) - 1</f>
        <v>1.3780783463059887E-2</v>
      </c>
      <c r="I52">
        <f>(Prices!I52 / Prices!I51) - 1</f>
        <v>-5.9395623480375193E-2</v>
      </c>
      <c r="J52">
        <f>(Prices!J52 / Prices!J51) - 1</f>
        <v>-2.7979887260956349E-2</v>
      </c>
      <c r="K52">
        <f>(Prices!K52 / Prices!K51) - 1</f>
        <v>0.10786438505898754</v>
      </c>
      <c r="L52">
        <f>(Prices!L52 / Prices!L51) - 1</f>
        <v>6.0850487191069336E-2</v>
      </c>
      <c r="M52">
        <f>(Prices!M52 / Prices!M51) - 1</f>
        <v>2.8305661132226323E-2</v>
      </c>
      <c r="N52">
        <f>(Prices!N52 / Prices!N51) - 1</f>
        <v>-1.1598283722177416E-2</v>
      </c>
      <c r="O52">
        <f>(Prices!O52 / Prices!O51) - 1</f>
        <v>-3.6185060739209018E-2</v>
      </c>
      <c r="P52">
        <f>(Prices!P52 / Prices!P51) - 1</f>
        <v>-6.418139892390462E-2</v>
      </c>
      <c r="Q52">
        <f>(Prices!Q52 / Prices!Q51) - 1</f>
        <v>-3.5839892815273777E-2</v>
      </c>
      <c r="R52">
        <f>(Prices!R52 / Prices!R51) - 1</f>
        <v>2.1455837830722579E-2</v>
      </c>
      <c r="S52">
        <f>(Prices!S52 / Prices!S51) - 1</f>
        <v>-0.24625724404378624</v>
      </c>
      <c r="T52">
        <f>(Prices!T52 / Prices!T51) - 1</f>
        <v>-6.4842958459979672E-2</v>
      </c>
      <c r="U52">
        <f>(Prices!U52 / Prices!U51) - 1</f>
        <v>1.8496609435867839E-2</v>
      </c>
      <c r="V52">
        <f>(Prices!V52 / Prices!V51) - 1</f>
        <v>-1.2782030960169832E-2</v>
      </c>
    </row>
    <row r="53" spans="1:22" x14ac:dyDescent="0.2">
      <c r="A53" t="s">
        <v>52</v>
      </c>
      <c r="B53">
        <f>(Prices!B53 / Prices!B52) - 1</f>
        <v>5.1720615397315317E-2</v>
      </c>
      <c r="C53">
        <f>(Prices!C53 / Prices!C52) - 1</f>
        <v>-1.85434726867032E-2</v>
      </c>
      <c r="D53">
        <f>(Prices!D53 / Prices!D52) - 1</f>
        <v>4.2320869274354633E-2</v>
      </c>
      <c r="E53">
        <f>(Prices!E53 / Prices!E52) - 1</f>
        <v>-1.1705374156482318E-2</v>
      </c>
      <c r="F53">
        <f>(Prices!F53 / Prices!F52) - 1</f>
        <v>0.28581113486534604</v>
      </c>
      <c r="G53">
        <f>(Prices!G53 / Prices!G52) - 1</f>
        <v>0.25629261290818683</v>
      </c>
      <c r="H53">
        <f>(Prices!H53 / Prices!H52) - 1</f>
        <v>1.5607300188797968E-2</v>
      </c>
      <c r="I53">
        <f>(Prices!I53 / Prices!I52) - 1</f>
        <v>-1.9202363367799125E-2</v>
      </c>
      <c r="J53">
        <f>(Prices!J53 / Prices!J52) - 1</f>
        <v>-3.5447667567963581E-2</v>
      </c>
      <c r="K53">
        <f>(Prices!K53 / Prices!K52) - 1</f>
        <v>5.2742598089664972E-2</v>
      </c>
      <c r="L53">
        <f>(Prices!L53 / Prices!L52) - 1</f>
        <v>7.0863746958637508E-2</v>
      </c>
      <c r="M53">
        <f>(Prices!M53 / Prices!M52) - 1</f>
        <v>1.663262328567261E-2</v>
      </c>
      <c r="N53">
        <f>(Prices!N53 / Prices!N52) - 1</f>
        <v>3.1065590449704805E-2</v>
      </c>
      <c r="O53">
        <f>(Prices!O53 / Prices!O52) - 1</f>
        <v>5.9890944846696659E-3</v>
      </c>
      <c r="P53">
        <f>(Prices!P53 / Prices!P52) - 1</f>
        <v>-7.5975359342916882E-3</v>
      </c>
      <c r="Q53">
        <f>(Prices!Q53 / Prices!Q52) - 1</f>
        <v>5.2805280528052778E-2</v>
      </c>
      <c r="R53">
        <f>(Prices!R53 / Prices!R52) - 1</f>
        <v>0.13891752577319583</v>
      </c>
      <c r="S53">
        <f>(Prices!S53 / Prices!S52) - 1</f>
        <v>7.7900581985156814E-2</v>
      </c>
      <c r="T53">
        <f>(Prices!T53 / Prices!T52) - 1</f>
        <v>2.3638333497488562E-2</v>
      </c>
      <c r="U53">
        <f>(Prices!U53 / Prices!U52) - 1</f>
        <v>7.8337488667271193E-2</v>
      </c>
      <c r="V53">
        <f>(Prices!V53 / Prices!V52) - 1</f>
        <v>-1.5031429352283521E-3</v>
      </c>
    </row>
    <row r="54" spans="1:22" x14ac:dyDescent="0.2">
      <c r="A54" t="s">
        <v>53</v>
      </c>
      <c r="B54">
        <f>(Prices!B54 / Prices!B53) - 1</f>
        <v>3.1018764704381807E-2</v>
      </c>
      <c r="C54">
        <f>(Prices!C54 / Prices!C53) - 1</f>
        <v>-5.1284046692606999E-2</v>
      </c>
      <c r="D54">
        <f>(Prices!D54 / Prices!D53) - 1</f>
        <v>1.7117684384033272E-2</v>
      </c>
      <c r="E54">
        <f>(Prices!E54 / Prices!E53) - 1</f>
        <v>9.006233690924903E-2</v>
      </c>
      <c r="F54">
        <f>(Prices!F54 / Prices!F53) - 1</f>
        <v>0.14218177864093384</v>
      </c>
      <c r="G54">
        <f>(Prices!G54 / Prices!G53) - 1</f>
        <v>-9.2832513822863616E-3</v>
      </c>
      <c r="H54">
        <f>(Prices!H54 / Prices!H53) - 1</f>
        <v>-1.976700954269428E-2</v>
      </c>
      <c r="I54">
        <f>(Prices!I54 / Prices!I53) - 1</f>
        <v>4.4804216867469826E-2</v>
      </c>
      <c r="J54">
        <f>(Prices!J54 / Prices!J53) - 1</f>
        <v>6.176744805540757E-3</v>
      </c>
      <c r="K54">
        <f>(Prices!K54 / Prices!K53) - 1</f>
        <v>4.4323433409818147E-2</v>
      </c>
      <c r="L54">
        <f>(Prices!L54 / Prices!L53) - 1</f>
        <v>3.4365237148537231E-2</v>
      </c>
      <c r="M54">
        <f>(Prices!M54 / Prices!M53) - 1</f>
        <v>0.11213164944508236</v>
      </c>
      <c r="N54">
        <f>(Prices!N54 / Prices!N53) - 1</f>
        <v>3.7694888494178125E-2</v>
      </c>
      <c r="O54">
        <f>(Prices!O54 / Prices!O53) - 1</f>
        <v>0.13097565310111947</v>
      </c>
      <c r="P54">
        <f>(Prices!P54 / Prices!P53) - 1</f>
        <v>0.13407821229050287</v>
      </c>
      <c r="Q54">
        <f>(Prices!Q54 / Prices!Q53) - 1</f>
        <v>7.2265302755320837E-2</v>
      </c>
      <c r="R54">
        <f>(Prices!R54 / Prices!R53) - 1</f>
        <v>2.0479746548992983E-2</v>
      </c>
      <c r="S54">
        <f>(Prices!S54 / Prices!S53) - 1</f>
        <v>-0.1292351892213196</v>
      </c>
      <c r="T54">
        <f>(Prices!T54 / Prices!T53) - 1</f>
        <v>-9.5737515635523907E-2</v>
      </c>
      <c r="U54">
        <f>(Prices!U54 / Prices!U53) - 1</f>
        <v>7.8558104096055903E-3</v>
      </c>
      <c r="V54">
        <f>(Prices!V54 / Prices!V53) - 1</f>
        <v>-3.5342821951553249E-2</v>
      </c>
    </row>
    <row r="55" spans="1:22" x14ac:dyDescent="0.2">
      <c r="A55" t="s">
        <v>54</v>
      </c>
      <c r="B55">
        <f>(Prices!B55 / Prices!B54) - 1</f>
        <v>-4.1615042774082567E-2</v>
      </c>
      <c r="C55">
        <f>(Prices!C55 / Prices!C54) - 1</f>
        <v>-6.7086961107140075E-3</v>
      </c>
      <c r="D55">
        <f>(Prices!D55 / Prices!D54) - 1</f>
        <v>-7.4610990271769095E-2</v>
      </c>
      <c r="E55">
        <f>(Prices!E55 / Prices!E54) - 1</f>
        <v>7.8511819662865356E-2</v>
      </c>
      <c r="F55">
        <f>(Prices!F55 / Prices!F54) - 1</f>
        <v>-4.3761699546242983E-2</v>
      </c>
      <c r="G55">
        <f>(Prices!G55 / Prices!G54) - 1</f>
        <v>-0.11411096008896571</v>
      </c>
      <c r="H55">
        <f>(Prices!H55 / Prices!H54) - 1</f>
        <v>-8.597256463746128E-2</v>
      </c>
      <c r="I55">
        <f>(Prices!I55 / Prices!I54) - 1</f>
        <v>-7.675675675675675E-2</v>
      </c>
      <c r="J55">
        <f>(Prices!J55 / Prices!J54) - 1</f>
        <v>-2.2234632249524267E-2</v>
      </c>
      <c r="K55">
        <f>(Prices!K55 / Prices!K54) - 1</f>
        <v>-2.0679571090377546E-2</v>
      </c>
      <c r="L55">
        <f>(Prices!L55 / Prices!L54) - 1</f>
        <v>-0.10686436024162549</v>
      </c>
      <c r="M55">
        <f>(Prices!M55 / Prices!M54) - 1</f>
        <v>1.7463867859600857E-2</v>
      </c>
      <c r="N55">
        <f>(Prices!N55 / Prices!N54) - 1</f>
        <v>2.2378597692405133E-2</v>
      </c>
      <c r="O55">
        <f>(Prices!O55 / Prices!O54) - 1</f>
        <v>-1.3042111879321139E-2</v>
      </c>
      <c r="P55">
        <f>(Prices!P55 / Prices!P54) - 1</f>
        <v>-0.13373471994161656</v>
      </c>
      <c r="Q55">
        <f>(Prices!Q55 / Prices!Q54) - 1</f>
        <v>1.7695030004616141E-2</v>
      </c>
      <c r="R55">
        <f>(Prices!R55 / Prices!R54) - 1</f>
        <v>-2.9825923051336023E-2</v>
      </c>
      <c r="S55">
        <f>(Prices!S55 / Prices!S54) - 1</f>
        <v>4.2607656863302923E-2</v>
      </c>
      <c r="T55">
        <f>(Prices!T55 / Prices!T54) - 1</f>
        <v>-1.8301766333262415E-2</v>
      </c>
      <c r="U55">
        <f>(Prices!U55 / Prices!U54) - 1</f>
        <v>-0.12872784150156413</v>
      </c>
      <c r="V55">
        <f>(Prices!V55 / Prices!V54) - 1</f>
        <v>-3.160134775669432E-2</v>
      </c>
    </row>
    <row r="56" spans="1:22" x14ac:dyDescent="0.2">
      <c r="A56" t="s">
        <v>55</v>
      </c>
      <c r="B56">
        <f>(Prices!B56 / Prices!B55) - 1</f>
        <v>4.8021224499522619E-2</v>
      </c>
      <c r="C56">
        <f>(Prices!C56 / Prices!C55) - 1</f>
        <v>0.13022550714037129</v>
      </c>
      <c r="D56">
        <f>(Prices!D56 / Prices!D55) - 1</f>
        <v>6.8189743126138236E-2</v>
      </c>
      <c r="E56">
        <f>(Prices!E56 / Prices!E55) - 1</f>
        <v>5.9713179441649444E-2</v>
      </c>
      <c r="F56">
        <f>(Prices!F56 / Prices!F55) - 1</f>
        <v>0.26887122821437459</v>
      </c>
      <c r="G56">
        <f>(Prices!G56 / Prices!G55) - 1</f>
        <v>8.5222121486854041E-2</v>
      </c>
      <c r="H56">
        <f>(Prices!H56 / Prices!H55) - 1</f>
        <v>2.7595269382391763E-2</v>
      </c>
      <c r="I56">
        <f>(Prices!I56 / Prices!I55) - 1</f>
        <v>9.9141295862607226E-2</v>
      </c>
      <c r="J56">
        <f>(Prices!J56 / Prices!J55) - 1</f>
        <v>2.4125822351024784E-2</v>
      </c>
      <c r="K56">
        <f>(Prices!K56 / Prices!K55) - 1</f>
        <v>-2.8478887703914268E-2</v>
      </c>
      <c r="L56">
        <f>(Prices!L56 / Prices!L55) - 1</f>
        <v>7.0708312838170251E-3</v>
      </c>
      <c r="M56">
        <f>(Prices!M56 / Prices!M55) - 1</f>
        <v>-1.2851948930413415E-2</v>
      </c>
      <c r="N56">
        <f>(Prices!N56 / Prices!N55) - 1</f>
        <v>-6.3247969244125679E-3</v>
      </c>
      <c r="O56">
        <f>(Prices!O56 / Prices!O55) - 1</f>
        <v>-2.6986148702435875E-2</v>
      </c>
      <c r="P56">
        <f>(Prices!P56 / Prices!P55) - 1</f>
        <v>1.0109519797809607E-2</v>
      </c>
      <c r="Q56">
        <f>(Prices!Q56 / Prices!Q55) - 1</f>
        <v>-1.6933776837012471E-2</v>
      </c>
      <c r="R56">
        <f>(Prices!R56 / Prices!R55) - 1</f>
        <v>8.2285714285714739E-3</v>
      </c>
      <c r="S56">
        <f>(Prices!S56 / Prices!S55) - 1</f>
        <v>-2.8371890004364797E-2</v>
      </c>
      <c r="T56">
        <f>(Prices!T56 / Prices!T55) - 1</f>
        <v>1.1922826793843377E-2</v>
      </c>
      <c r="U56">
        <f>(Prices!U56 / Prices!U55) - 1</f>
        <v>2.4145772245826036E-2</v>
      </c>
      <c r="V56">
        <f>(Prices!V56 / Prices!V55) - 1</f>
        <v>-1.3697626721359546E-2</v>
      </c>
    </row>
    <row r="57" spans="1:22" x14ac:dyDescent="0.2">
      <c r="A57" t="s">
        <v>56</v>
      </c>
      <c r="B57">
        <f>(Prices!B57 / Prices!B56) - 1</f>
        <v>3.4669759034089864E-2</v>
      </c>
      <c r="C57">
        <f>(Prices!C57 / Prices!C56) - 1</f>
        <v>9.5550243729319417E-2</v>
      </c>
      <c r="D57">
        <f>(Prices!D57 / Prices!D56) - 1</f>
        <v>7.6652440425094559E-2</v>
      </c>
      <c r="E57">
        <f>(Prices!E57 / Prices!E56) - 1</f>
        <v>5.715715308040048E-2</v>
      </c>
      <c r="F57">
        <f>(Prices!F57 / Prices!F56) - 1</f>
        <v>0.12693532347386571</v>
      </c>
      <c r="G57">
        <f>(Prices!G57 / Prices!G56) - 1</f>
        <v>8.0093395882869567E-2</v>
      </c>
      <c r="H57">
        <f>(Prices!H57 / Prices!H56) - 1</f>
        <v>-1.6287521873738164E-2</v>
      </c>
      <c r="I57">
        <f>(Prices!I57 / Prices!I56) - 1</f>
        <v>-6.3920454545454142E-3</v>
      </c>
      <c r="J57">
        <f>(Prices!J57 / Prices!J56) - 1</f>
        <v>3.2404184783169976E-2</v>
      </c>
      <c r="K57">
        <f>(Prices!K57 / Prices!K56) - 1</f>
        <v>-7.9687754106358977E-3</v>
      </c>
      <c r="L57">
        <f>(Prices!L57 / Prices!L56) - 1</f>
        <v>4.7194578423591205E-2</v>
      </c>
      <c r="M57">
        <f>(Prices!M57 / Prices!M56) - 1</f>
        <v>-1.3961456102783654E-2</v>
      </c>
      <c r="N57">
        <f>(Prices!N57 / Prices!N56) - 1</f>
        <v>-2.3900156006240292E-2</v>
      </c>
      <c r="O57">
        <f>(Prices!O57 / Prices!O56) - 1</f>
        <v>-6.422318579726749E-2</v>
      </c>
      <c r="P57">
        <f>(Prices!P57 / Prices!P56) - 1</f>
        <v>-1.6263552960800731E-2</v>
      </c>
      <c r="Q57">
        <f>(Prices!Q57 / Prices!Q56) - 1</f>
        <v>-3.0605967394647715E-2</v>
      </c>
      <c r="R57">
        <f>(Prices!R57 / Prices!R56) - 1</f>
        <v>9.527318068465207E-2</v>
      </c>
      <c r="S57">
        <f>(Prices!S57 / Prices!S56) - 1</f>
        <v>0.11118598382749312</v>
      </c>
      <c r="T57">
        <f>(Prices!T57 / Prices!T56) - 1</f>
        <v>-0.19269494430162803</v>
      </c>
      <c r="U57">
        <f>(Prices!U57 / Prices!U56) - 1</f>
        <v>5.6969236612229857E-3</v>
      </c>
      <c r="V57">
        <f>(Prices!V57 / Prices!V56) - 1</f>
        <v>-5.3694764203490508E-2</v>
      </c>
    </row>
    <row r="58" spans="1:22" x14ac:dyDescent="0.2">
      <c r="A58" t="s">
        <v>57</v>
      </c>
      <c r="B58">
        <f>(Prices!B58 / Prices!B57) - 1</f>
        <v>1.1321349038912354E-2</v>
      </c>
      <c r="C58">
        <f>(Prices!C58 / Prices!C57) - 1</f>
        <v>5.4412759511037967E-2</v>
      </c>
      <c r="D58">
        <f>(Prices!D58 / Prices!D57) - 1</f>
        <v>-6.3990297694579534E-2</v>
      </c>
      <c r="E58">
        <f>(Prices!E58 / Prices!E57) - 1</f>
        <v>-5.8249541829709317E-2</v>
      </c>
      <c r="F58">
        <f>(Prices!F58 / Prices!F57) - 1</f>
        <v>-5.2768782383419643E-2</v>
      </c>
      <c r="G58">
        <f>(Prices!G58 / Prices!G57) - 1</f>
        <v>-5.8288048867557896E-2</v>
      </c>
      <c r="H58">
        <f>(Prices!H58 / Prices!H57) - 1</f>
        <v>7.9980842911877348E-2</v>
      </c>
      <c r="I58">
        <f>(Prices!I58 / Prices!I57) - 1</f>
        <v>9.149392423159397E-2</v>
      </c>
      <c r="J58">
        <f>(Prices!J58 / Prices!J57) - 1</f>
        <v>0.13136450303407399</v>
      </c>
      <c r="K58">
        <f>(Prices!K58 / Prices!K57) - 1</f>
        <v>-8.6180327868852435E-2</v>
      </c>
      <c r="L58">
        <f>(Prices!L58 / Prices!L57) - 1</f>
        <v>8.0457089552238736E-2</v>
      </c>
      <c r="M58">
        <f>(Prices!M58 / Prices!M57) - 1</f>
        <v>3.0142460041695518E-2</v>
      </c>
      <c r="N58">
        <f>(Prices!N58 / Prices!N57) - 1</f>
        <v>2.589182968929804E-2</v>
      </c>
      <c r="O58">
        <f>(Prices!O58 / Prices!O57) - 1</f>
        <v>-2.7802063297779234E-2</v>
      </c>
      <c r="P58">
        <f>(Prices!P58 / Prices!P57) - 1</f>
        <v>2.3526918185671875E-2</v>
      </c>
      <c r="Q58">
        <f>(Prices!Q58 / Prices!Q57) - 1</f>
        <v>-3.5062668570521982E-2</v>
      </c>
      <c r="R58">
        <f>(Prices!R58 / Prices!R57) - 1</f>
        <v>-3.2445019404915953E-2</v>
      </c>
      <c r="S58">
        <f>(Prices!S58 / Prices!S57) - 1</f>
        <v>0.17278148372751168</v>
      </c>
      <c r="T58">
        <f>(Prices!T58 / Prices!T57) - 1</f>
        <v>-6.7666180177790025E-3</v>
      </c>
      <c r="U58">
        <f>(Prices!U58 / Prices!U57) - 1</f>
        <v>6.9486404833836835E-2</v>
      </c>
      <c r="V58">
        <f>(Prices!V58 / Prices!V57) - 1</f>
        <v>4.143776487207651E-2</v>
      </c>
    </row>
    <row r="59" spans="1:22" x14ac:dyDescent="0.2">
      <c r="A59" t="s">
        <v>58</v>
      </c>
      <c r="B59">
        <f>(Prices!B59 / Prices!B58) - 1</f>
        <v>2.2834688445031892E-2</v>
      </c>
      <c r="C59">
        <f>(Prices!C59 / Prices!C58) - 1</f>
        <v>3.2353525861134269E-2</v>
      </c>
      <c r="D59">
        <f>(Prices!D59 / Prices!D58) - 1</f>
        <v>-1.0941470332058723E-3</v>
      </c>
      <c r="E59">
        <f>(Prices!E59 / Prices!E58) - 1</f>
        <v>-4.7575635383977022E-2</v>
      </c>
      <c r="F59">
        <f>(Prices!F59 / Prices!F58) - 1</f>
        <v>2.0085126749970206E-2</v>
      </c>
      <c r="G59">
        <f>(Prices!G59 / Prices!G58) - 1</f>
        <v>9.7887665059073647E-2</v>
      </c>
      <c r="H59">
        <f>(Prices!H59 / Prices!H58) - 1</f>
        <v>5.0744377573646027E-2</v>
      </c>
      <c r="I59">
        <f>(Prices!I59 / Prices!I58) - 1</f>
        <v>-5.0098231827111928E-2</v>
      </c>
      <c r="J59">
        <f>(Prices!J59 / Prices!J58) - 1</f>
        <v>2.4370360152931703E-2</v>
      </c>
      <c r="K59">
        <f>(Prices!K59 / Prices!K58) - 1</f>
        <v>4.7028326426636458E-2</v>
      </c>
      <c r="L59">
        <f>(Prices!L59 / Prices!L58) - 1</f>
        <v>5.9302827541549696E-2</v>
      </c>
      <c r="M59">
        <f>(Prices!M59 / Prices!M58) - 1</f>
        <v>-5.4810692301205943E-3</v>
      </c>
      <c r="N59">
        <f>(Prices!N59 / Prices!N58) - 1</f>
        <v>-7.8020813859288385E-2</v>
      </c>
      <c r="O59">
        <f>(Prices!O59 / Prices!O58) - 1</f>
        <v>2.3291366906474931E-2</v>
      </c>
      <c r="P59">
        <f>(Prices!P59 / Prices!P58) - 1</f>
        <v>-8.9045351004348627E-2</v>
      </c>
      <c r="Q59">
        <f>(Prices!Q59 / Prices!Q58) - 1</f>
        <v>-6.3137125945412764E-2</v>
      </c>
      <c r="R59">
        <f>(Prices!R59 / Prices!R58) - 1</f>
        <v>-4.535244411166961E-2</v>
      </c>
      <c r="S59">
        <f>(Prices!S59 / Prices!S58) - 1</f>
        <v>-7.7390442538889048E-2</v>
      </c>
      <c r="T59">
        <f>(Prices!T59 / Prices!T58) - 1</f>
        <v>0.11301095378039006</v>
      </c>
      <c r="U59">
        <f>(Prices!U59 / Prices!U58) - 1</f>
        <v>9.2351151673186749E-4</v>
      </c>
      <c r="V59">
        <f>(Prices!V59 / Prices!V58) - 1</f>
        <v>8.7641296156744763E-2</v>
      </c>
    </row>
    <row r="60" spans="1:22" x14ac:dyDescent="0.2">
      <c r="A60" t="s">
        <v>59</v>
      </c>
      <c r="B60">
        <f>(Prices!B60 / Prices!B59) - 1</f>
        <v>2.0196869910062976E-2</v>
      </c>
      <c r="C60">
        <f>(Prices!C60 / Prices!C59) - 1</f>
        <v>1.7466312467997236E-2</v>
      </c>
      <c r="D60">
        <f>(Prices!D60 / Prices!D59) - 1</f>
        <v>3.154643087913489E-2</v>
      </c>
      <c r="E60">
        <f>(Prices!E60 / Prices!E59) - 1</f>
        <v>1.6468682505399457E-2</v>
      </c>
      <c r="F60">
        <f>(Prices!F60 / Prices!F59) - 1</f>
        <v>1.7427441517527953E-2</v>
      </c>
      <c r="G60">
        <f>(Prices!G60 / Prices!G59) - 1</f>
        <v>9.8079837332873065E-2</v>
      </c>
      <c r="H60">
        <f>(Prices!H60 / Prices!H59) - 1</f>
        <v>-2.2910888701314414E-2</v>
      </c>
      <c r="I60">
        <f>(Prices!I60 / Prices!I59) - 1</f>
        <v>-2.4129610479145525E-3</v>
      </c>
      <c r="J60">
        <f>(Prices!J60 / Prices!J59) - 1</f>
        <v>-5.8419060081517094E-3</v>
      </c>
      <c r="K60">
        <f>(Prices!K60 / Prices!K59) - 1</f>
        <v>-3.487565215156474E-2</v>
      </c>
      <c r="L60">
        <f>(Prices!L60 / Prices!L59) - 1</f>
        <v>5.9599612857215156E-3</v>
      </c>
      <c r="M60">
        <f>(Prices!M60 / Prices!M59) - 1</f>
        <v>-6.10479905036454E-3</v>
      </c>
      <c r="N60">
        <f>(Prices!N60 / Prices!N59) - 1</f>
        <v>-4.5961473470765846E-3</v>
      </c>
      <c r="O60">
        <f>(Prices!O60 / Prices!O59) - 1</f>
        <v>-7.4786888127251983E-2</v>
      </c>
      <c r="P60">
        <f>(Prices!P60 / Prices!P59) - 1</f>
        <v>-4.6374175949079333E-2</v>
      </c>
      <c r="Q60">
        <f>(Prices!Q60 / Prices!Q59) - 1</f>
        <v>-9.5472095472095453E-2</v>
      </c>
      <c r="R60">
        <f>(Prices!R60 / Prices!R59) - 1</f>
        <v>4.3865546218487372E-2</v>
      </c>
      <c r="S60">
        <f>(Prices!S60 / Prices!S59) - 1</f>
        <v>0.22194199243379553</v>
      </c>
      <c r="T60">
        <f>(Prices!T60 / Prices!T59) - 1</f>
        <v>6.0969755160825923E-2</v>
      </c>
      <c r="U60">
        <f>(Prices!U60 / Prices!U59) - 1</f>
        <v>9.9592944369063741E-2</v>
      </c>
      <c r="V60">
        <f>(Prices!V60 / Prices!V59) - 1</f>
        <v>5.4908889350793189E-2</v>
      </c>
    </row>
    <row r="61" spans="1:22" x14ac:dyDescent="0.2">
      <c r="A61" t="s">
        <v>60</v>
      </c>
      <c r="B61">
        <f>(Prices!B61 / Prices!B60) - 1</f>
        <v>-9.8967805528175079E-3</v>
      </c>
      <c r="C61">
        <f>(Prices!C61 / Prices!C60) - 1</f>
        <v>-3.0427376896872138E-2</v>
      </c>
      <c r="D61">
        <f>(Prices!D61 / Prices!D60) - 1</f>
        <v>-5.565853204172877E-2</v>
      </c>
      <c r="E61">
        <f>(Prices!E61 / Prices!E60) - 1</f>
        <v>3.1715561994446473E-2</v>
      </c>
      <c r="F61">
        <f>(Prices!F61 / Prices!F60) - 1</f>
        <v>9.321266223071345E-2</v>
      </c>
      <c r="G61">
        <f>(Prices!G61 / Prices!G60) - 1</f>
        <v>-8.4899727482355969E-3</v>
      </c>
      <c r="H61">
        <f>(Prices!H61 / Prices!H60) - 1</f>
        <v>-1.3575219054671073E-2</v>
      </c>
      <c r="I61">
        <f>(Prices!I61 / Prices!I60) - 1</f>
        <v>-2.2114720110573582E-2</v>
      </c>
      <c r="J61">
        <f>(Prices!J61 / Prices!J60) - 1</f>
        <v>-3.4514194822176103E-2</v>
      </c>
      <c r="K61">
        <f>(Prices!K61 / Prices!K60) - 1</f>
        <v>-9.8980986703119167E-2</v>
      </c>
      <c r="L61">
        <f>(Prices!L61 / Prices!L60) - 1</f>
        <v>3.2357707109580858E-2</v>
      </c>
      <c r="M61">
        <f>(Prices!M61 / Prices!M60) - 1</f>
        <v>-3.7536256611500063E-3</v>
      </c>
      <c r="N61">
        <f>(Prices!N61 / Prices!N60) - 1</f>
        <v>1.0524886263325817E-2</v>
      </c>
      <c r="O61">
        <f>(Prices!O61 / Prices!O60) - 1</f>
        <v>4.0463525835866321E-2</v>
      </c>
      <c r="P61">
        <f>(Prices!P61 / Prices!P60) - 1</f>
        <v>-4.4815256257449421E-2</v>
      </c>
      <c r="Q61">
        <f>(Prices!Q61 / Prices!Q60) - 1</f>
        <v>-2.7745440434613911E-2</v>
      </c>
      <c r="R61">
        <f>(Prices!R61 / Prices!R60) - 1</f>
        <v>3.7567756131595686E-4</v>
      </c>
      <c r="S61">
        <f>(Prices!S61 / Prices!S60) - 1</f>
        <v>-4.5025417574437232E-2</v>
      </c>
      <c r="T61">
        <f>(Prices!T61 / Prices!T60) - 1</f>
        <v>-0.12748868778280553</v>
      </c>
      <c r="U61">
        <f>(Prices!U61 / Prices!U60) - 1</f>
        <v>-2.8257650542941715E-2</v>
      </c>
      <c r="V61">
        <f>(Prices!V61 / Prices!V60) - 1</f>
        <v>-4.0721158582640915E-2</v>
      </c>
    </row>
    <row r="62" spans="1:22" x14ac:dyDescent="0.2">
      <c r="A62" t="s">
        <v>61</v>
      </c>
      <c r="B62">
        <f>(Prices!B62 / Prices!B61) - 1</f>
        <v>5.7301352215863854E-2</v>
      </c>
      <c r="C62">
        <f>(Prices!C62 / Prices!C61) - 1</f>
        <v>5.1704863051984296E-2</v>
      </c>
      <c r="D62">
        <f>(Prices!D62 / Prices!D61) - 1</f>
        <v>4.4193145895082608E-2</v>
      </c>
      <c r="E62">
        <f>(Prices!E62 / Prices!E61) - 1</f>
        <v>-1.2620382180511758E-2</v>
      </c>
      <c r="F62">
        <f>(Prices!F62 / Prices!F61) - 1</f>
        <v>4.1348087773350084E-2</v>
      </c>
      <c r="G62">
        <f>(Prices!G62 / Prices!G61) - 1</f>
        <v>1.1874977976672918E-2</v>
      </c>
      <c r="H62">
        <f>(Prices!H62 / Prices!H61) - 1</f>
        <v>-3.0339046665832758E-2</v>
      </c>
      <c r="I62">
        <f>(Prices!I62 / Prices!I61) - 1</f>
        <v>-7.3851590106007059E-2</v>
      </c>
      <c r="J62">
        <f>(Prices!J62 / Prices!J61) - 1</f>
        <v>8.0958196268724913E-2</v>
      </c>
      <c r="K62">
        <f>(Prices!K62 / Prices!K61) - 1</f>
        <v>-6.6399361620381736E-3</v>
      </c>
      <c r="L62">
        <f>(Prices!L62 / Prices!L61) - 1</f>
        <v>-0.10271251287585226</v>
      </c>
      <c r="M62">
        <f>(Prices!M62 / Prices!M61) - 1</f>
        <v>1.0104469943483352E-2</v>
      </c>
      <c r="N62">
        <f>(Prices!N62 / Prices!N61) - 1</f>
        <v>8.8092998252923049E-2</v>
      </c>
      <c r="O62">
        <f>(Prices!O62 / Prices!O61) - 1</f>
        <v>-1.0954902318787707E-2</v>
      </c>
      <c r="P62">
        <f>(Prices!P62 / Prices!P61) - 1</f>
        <v>9.6580983279261234E-2</v>
      </c>
      <c r="Q62">
        <f>(Prices!Q62 / Prices!Q61) - 1</f>
        <v>9.3793653961284917E-3</v>
      </c>
      <c r="R62">
        <f>(Prices!R62 / Prices!R61) - 1</f>
        <v>0.11528969957081525</v>
      </c>
      <c r="S62">
        <f>(Prices!S62 / Prices!S61) - 1</f>
        <v>0.38146888132879742</v>
      </c>
      <c r="T62">
        <f>(Prices!T62 / Prices!T61) - 1</f>
        <v>2.1262803059769242E-2</v>
      </c>
      <c r="U62">
        <f>(Prices!U62 / Prices!U61) - 1</f>
        <v>8.9853968253968297E-2</v>
      </c>
      <c r="V62">
        <f>(Prices!V62 / Prices!V61) - 1</f>
        <v>1.3351134846461887E-2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BAFC-6D5F-BE4D-9C02-F0ACBB842E1C}">
  <dimension ref="A1:V62"/>
  <sheetViews>
    <sheetView zoomScale="75" workbookViewId="0">
      <selection activeCell="Z19" sqref="Z19"/>
    </sheetView>
  </sheetViews>
  <sheetFormatPr baseColWidth="10" defaultRowHeight="16" x14ac:dyDescent="0.2"/>
  <sheetData>
    <row r="1" spans="1:22" x14ac:dyDescent="0.2">
      <c r="A1" t="s">
        <v>0</v>
      </c>
      <c r="B1" t="s">
        <v>62</v>
      </c>
      <c r="C1" t="s">
        <v>63</v>
      </c>
      <c r="D1" t="s">
        <v>64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  <c r="R1" t="s">
        <v>78</v>
      </c>
      <c r="S1" t="s">
        <v>79</v>
      </c>
      <c r="T1" t="s">
        <v>80</v>
      </c>
      <c r="U1" t="s">
        <v>81</v>
      </c>
      <c r="V1" t="s">
        <v>82</v>
      </c>
    </row>
    <row r="2" spans="1:22" x14ac:dyDescent="0.2">
      <c r="A2" t="s">
        <v>1</v>
      </c>
    </row>
    <row r="3" spans="1:22" x14ac:dyDescent="0.2">
      <c r="A3" t="s">
        <v>2</v>
      </c>
      <c r="B3">
        <f>Returns!B3 - RiskFree!$C3</f>
        <v>2.7306469849112971E-2</v>
      </c>
      <c r="C3">
        <f>Returns!C3 - RiskFree!$C3</f>
        <v>9.744964267388731E-2</v>
      </c>
      <c r="D3">
        <f>Returns!D3 - RiskFree!$C3</f>
        <v>4.0281475726814592E-2</v>
      </c>
      <c r="E3">
        <f>Returns!E3 - RiskFree!$C3</f>
        <v>2.5786541637614149E-2</v>
      </c>
      <c r="F3">
        <f>Returns!F3 - RiskFree!$C3</f>
        <v>8.431457332621714E-2</v>
      </c>
      <c r="G3">
        <f>Returns!G3 - RiskFree!$C3</f>
        <v>1.661986047741856E-2</v>
      </c>
      <c r="H3">
        <f>Returns!H3 - RiskFree!$C3</f>
        <v>5.960284111899769E-2</v>
      </c>
      <c r="I3">
        <f>Returns!I3 - RiskFree!$C3</f>
        <v>1.5861428875134611E-2</v>
      </c>
      <c r="J3">
        <f>Returns!J3 - RiskFree!$C3</f>
        <v>5.315777079347736E-2</v>
      </c>
      <c r="K3">
        <f>Returns!K3 - RiskFree!$C3</f>
        <v>4.9110028310373116E-2</v>
      </c>
      <c r="L3">
        <f>Returns!L3 - RiskFree!$C3</f>
        <v>7.9519254202537713E-3</v>
      </c>
      <c r="M3">
        <f>Returns!M3 - RiskFree!$C3</f>
        <v>2.2973710515467451E-2</v>
      </c>
      <c r="N3">
        <f>Returns!N3 - RiskFree!$C3</f>
        <v>2.7586560334962953E-2</v>
      </c>
      <c r="O3">
        <f>Returns!O3 - RiskFree!$C3</f>
        <v>8.3646199286109252E-2</v>
      </c>
      <c r="P3">
        <f>Returns!P3 - RiskFree!$C3</f>
        <v>0.1247285837201437</v>
      </c>
      <c r="Q3">
        <f>Returns!Q3 - RiskFree!$C3</f>
        <v>8.9245538021537313E-2</v>
      </c>
      <c r="R3">
        <f>Returns!R3 - RiskFree!$C3</f>
        <v>2.4838390345031738E-2</v>
      </c>
      <c r="S3">
        <f>Returns!S3 - RiskFree!$C3</f>
        <v>0.26661537552282238</v>
      </c>
      <c r="T3">
        <f>Returns!T3 - RiskFree!$C3</f>
        <v>8.256386256045764E-2</v>
      </c>
      <c r="U3">
        <f>Returns!U3 - RiskFree!$C3</f>
        <v>-4.5933288352597882E-3</v>
      </c>
      <c r="V3">
        <f>Returns!V3 - RiskFree!$C3</f>
        <v>1.493300206149192E-2</v>
      </c>
    </row>
    <row r="4" spans="1:22" x14ac:dyDescent="0.2">
      <c r="A4" t="s">
        <v>3</v>
      </c>
      <c r="B4">
        <f>Returns!B4 - RiskFree!$C4</f>
        <v>-2.8947564777959409E-3</v>
      </c>
      <c r="C4">
        <f>Returns!C4 - RiskFree!$C4</f>
        <v>5.2837152236121371E-2</v>
      </c>
      <c r="D4">
        <f>Returns!D4 - RiskFree!$C4</f>
        <v>7.825384994486026E-2</v>
      </c>
      <c r="E4">
        <f>Returns!E4 - RiskFree!$C4</f>
        <v>6.8460103065797945E-2</v>
      </c>
      <c r="F4">
        <f>Returns!F4 - RiskFree!$C4</f>
        <v>3.5199009000704542E-3</v>
      </c>
      <c r="G4">
        <f>Returns!G4 - RiskFree!$C4</f>
        <v>-1.7539504669102729E-2</v>
      </c>
      <c r="H4">
        <f>Returns!H4 - RiskFree!$C4</f>
        <v>1.9301324027354599E-2</v>
      </c>
      <c r="I4">
        <f>Returns!I4 - RiskFree!$C4</f>
        <v>-4.1068980416634676E-2</v>
      </c>
      <c r="J4">
        <f>Returns!J4 - RiskFree!$C4</f>
        <v>-7.4487339519292234E-2</v>
      </c>
      <c r="K4">
        <f>Returns!K4 - RiskFree!$C4</f>
        <v>-6.1850089164248084E-2</v>
      </c>
      <c r="L4">
        <f>Returns!L4 - RiskFree!$C4</f>
        <v>-7.3853612411068498E-2</v>
      </c>
      <c r="M4">
        <f>Returns!M4 - RiskFree!$C4</f>
        <v>-0.1110327613218203</v>
      </c>
      <c r="N4">
        <f>Returns!N4 - RiskFree!$C4</f>
        <v>-0.11211964664716337</v>
      </c>
      <c r="O4">
        <f>Returns!O4 - RiskFree!$C4</f>
        <v>-8.7392751974105259E-2</v>
      </c>
      <c r="P4">
        <f>Returns!P4 - RiskFree!$C4</f>
        <v>-0.16771494958569091</v>
      </c>
      <c r="Q4">
        <f>Returns!Q4 - RiskFree!$C4</f>
        <v>-3.7379942185028076E-2</v>
      </c>
      <c r="R4">
        <f>Returns!R4 - RiskFree!$C4</f>
        <v>8.5797148382255356E-2</v>
      </c>
      <c r="S4">
        <f>Returns!S4 - RiskFree!$C4</f>
        <v>0.55384346754539771</v>
      </c>
      <c r="T4">
        <f>Returns!T4 - RiskFree!$C4</f>
        <v>-5.0922396006115395E-2</v>
      </c>
      <c r="U4">
        <f>Returns!U4 - RiskFree!$C4</f>
        <v>4.3211025810829667E-2</v>
      </c>
      <c r="V4">
        <f>Returns!V4 - RiskFree!$C4</f>
        <v>8.1417588393974144E-2</v>
      </c>
    </row>
    <row r="5" spans="1:22" x14ac:dyDescent="0.2">
      <c r="A5" t="s">
        <v>4</v>
      </c>
      <c r="B5">
        <f>Returns!B5 - RiskFree!$C5</f>
        <v>-8.5377135676314803E-2</v>
      </c>
      <c r="C5">
        <f>Returns!C5 - RiskFree!$C5</f>
        <v>-0.11602244949339927</v>
      </c>
      <c r="D5">
        <f>Returns!D5 - RiskFree!$C5</f>
        <v>-4.6991165048345024E-2</v>
      </c>
      <c r="E5">
        <f>Returns!E5 - RiskFree!$C5</f>
        <v>-6.6546582834012519E-2</v>
      </c>
      <c r="F5">
        <f>Returns!F5 - RiskFree!$C5</f>
        <v>0.14174313608897812</v>
      </c>
      <c r="G5">
        <f>Returns!G5 - RiskFree!$C5</f>
        <v>-4.8020170703118509E-2</v>
      </c>
      <c r="H5">
        <f>Returns!H5 - RiskFree!$C5</f>
        <v>-9.2182357482170879E-2</v>
      </c>
      <c r="I5">
        <f>Returns!I5 - RiskFree!$C5</f>
        <v>-0.10387164033791033</v>
      </c>
      <c r="J5">
        <f>Returns!J5 - RiskFree!$C5</f>
        <v>-6.5509831841118055E-2</v>
      </c>
      <c r="K5">
        <f>Returns!K5 - RiskFree!$C5</f>
        <v>-0.10519019309358948</v>
      </c>
      <c r="L5">
        <f>Returns!L5 - RiskFree!$C5</f>
        <v>5.664908282921019E-2</v>
      </c>
      <c r="M5">
        <f>Returns!M5 - RiskFree!$C5</f>
        <v>-0.16130457452141969</v>
      </c>
      <c r="N5">
        <f>Returns!N5 - RiskFree!$C5</f>
        <v>-0.11995316065073172</v>
      </c>
      <c r="O5">
        <f>Returns!O5 - RiskFree!$C5</f>
        <v>-0.18075495368266339</v>
      </c>
      <c r="P5">
        <f>Returns!P5 - RiskFree!$C5</f>
        <v>-0.18090591506362733</v>
      </c>
      <c r="Q5">
        <f>Returns!Q5 - RiskFree!$C5</f>
        <v>-0.17703679283166543</v>
      </c>
      <c r="R5">
        <f>Returns!R5 - RiskFree!$C5</f>
        <v>-6.3480414725131801E-2</v>
      </c>
      <c r="S5">
        <f>Returns!S5 - RiskFree!$C5</f>
        <v>2.5556021827684322E-2</v>
      </c>
      <c r="T5">
        <f>Returns!T5 - RiskFree!$C5</f>
        <v>-7.0582105716755189E-2</v>
      </c>
      <c r="U5">
        <f>Returns!U5 - RiskFree!$C5</f>
        <v>-4.6198613576802799E-2</v>
      </c>
      <c r="V5">
        <f>Returns!V5 - RiskFree!$C5</f>
        <v>-8.8081824375776524E-2</v>
      </c>
    </row>
    <row r="6" spans="1:22" x14ac:dyDescent="0.2">
      <c r="A6" t="s">
        <v>5</v>
      </c>
      <c r="B6">
        <f>Returns!B6 - RiskFree!$C6</f>
        <v>-0.12536098750262323</v>
      </c>
      <c r="C6">
        <f>Returns!C6 - RiskFree!$C6</f>
        <v>-7.0019274941875848E-2</v>
      </c>
      <c r="D6">
        <f>Returns!D6 - RiskFree!$C6</f>
        <v>-2.6757647049989813E-2</v>
      </c>
      <c r="E6">
        <f>Returns!E6 - RiskFree!$C6</f>
        <v>-0.13262806606954977</v>
      </c>
      <c r="F6">
        <f>Returns!F6 - RiskFree!$C6</f>
        <v>-2.424183313837322E-2</v>
      </c>
      <c r="G6">
        <f>Returns!G6 - RiskFree!$C6</f>
        <v>-0.1336131011759408</v>
      </c>
      <c r="H6">
        <f>Returns!H6 - RiskFree!$C6</f>
        <v>-2.5069968854815466E-2</v>
      </c>
      <c r="I6">
        <f>Returns!I6 - RiskFree!$C6</f>
        <v>-2.3613710843997854E-2</v>
      </c>
      <c r="J6">
        <f>Returns!J6 - RiskFree!$C6</f>
        <v>-1.7908892638940549E-2</v>
      </c>
      <c r="K6">
        <f>Returns!K6 - RiskFree!$C6</f>
        <v>1.302006064591524E-2</v>
      </c>
      <c r="L6">
        <f>Returns!L6 - RiskFree!$C6</f>
        <v>-0.11131662228800751</v>
      </c>
      <c r="M6">
        <f>Returns!M6 - RiskFree!$C6</f>
        <v>-0.26213522644393789</v>
      </c>
      <c r="N6">
        <f>Returns!N6 - RiskFree!$C6</f>
        <v>-0.2239462325290856</v>
      </c>
      <c r="O6">
        <f>Returns!O6 - RiskFree!$C6</f>
        <v>-0.3641372884294512</v>
      </c>
      <c r="P6">
        <f>Returns!P6 - RiskFree!$C6</f>
        <v>-0.50224334574503926</v>
      </c>
      <c r="Q6">
        <f>Returns!Q6 - RiskFree!$C6</f>
        <v>-0.63583469810543702</v>
      </c>
      <c r="R6">
        <f>Returns!R6 - RiskFree!$C6</f>
        <v>3.4778904003539141E-2</v>
      </c>
      <c r="S6">
        <f>Returns!S6 - RiskFree!$C6</f>
        <v>-0.21581069029617525</v>
      </c>
      <c r="T6">
        <f>Returns!T6 - RiskFree!$C6</f>
        <v>-7.4536052377626144E-2</v>
      </c>
      <c r="U6">
        <f>Returns!U6 - RiskFree!$C6</f>
        <v>-0.13739590432986645</v>
      </c>
      <c r="V6">
        <f>Returns!V6 - RiskFree!$C6</f>
        <v>-0.14867895236606152</v>
      </c>
    </row>
    <row r="7" spans="1:22" x14ac:dyDescent="0.2">
      <c r="A7" t="s">
        <v>6</v>
      </c>
      <c r="B7">
        <f>Returns!B7 - RiskFree!$C7</f>
        <v>0.12672743626648708</v>
      </c>
      <c r="C7">
        <f>Returns!C7 - RiskFree!$C7</f>
        <v>0.15529016215895031</v>
      </c>
      <c r="D7">
        <f>Returns!D7 - RiskFree!$C7</f>
        <v>0.13620670135353696</v>
      </c>
      <c r="E7">
        <f>Returns!E7 - RiskFree!$C7</f>
        <v>0.15888256805849965</v>
      </c>
      <c r="F7">
        <f>Returns!F7 - RiskFree!$C7</f>
        <v>0.10868572124756347</v>
      </c>
      <c r="G7">
        <f>Returns!G7 - RiskFree!$C7</f>
        <v>0.22716151079136682</v>
      </c>
      <c r="H7">
        <f>Returns!H7 - RiskFree!$C7</f>
        <v>0.14403087122918212</v>
      </c>
      <c r="I7">
        <f>Returns!I7 - RiskFree!$C7</f>
        <v>0.1751960227843613</v>
      </c>
      <c r="J7">
        <f>Returns!J7 - RiskFree!$C7</f>
        <v>0.17274419537757002</v>
      </c>
      <c r="K7">
        <f>Returns!K7 - RiskFree!$C7</f>
        <v>3.1069860585301354E-2</v>
      </c>
      <c r="L7">
        <f>Returns!L7 - RiskFree!$C7</f>
        <v>9.4847486292611513E-2</v>
      </c>
      <c r="M7">
        <f>Returns!M7 - RiskFree!$C7</f>
        <v>0.2237689181885506</v>
      </c>
      <c r="N7">
        <f>Returns!N7 - RiskFree!$C7</f>
        <v>0.26955167586322137</v>
      </c>
      <c r="O7">
        <f>Returns!O7 - RiskFree!$C7</f>
        <v>0.36676097122323725</v>
      </c>
      <c r="P7">
        <f>Returns!P7 - RiskFree!$C7</f>
        <v>0.24666972496039097</v>
      </c>
      <c r="Q7">
        <f>Returns!Q7 - RiskFree!$C7</f>
        <v>0.43334948968000131</v>
      </c>
      <c r="R7">
        <f>Returns!R7 - RiskFree!$C7</f>
        <v>0.26878348309842781</v>
      </c>
      <c r="S7">
        <f>Returns!S7 - RiskFree!$C7</f>
        <v>0.49206128388481274</v>
      </c>
      <c r="T7">
        <f>Returns!T7 - RiskFree!$C7</f>
        <v>5.3552405034588677E-2</v>
      </c>
      <c r="U7">
        <f>Returns!U7 - RiskFree!$C7</f>
        <v>0.17717896092645791</v>
      </c>
      <c r="V7">
        <f>Returns!V7 - RiskFree!$C7</f>
        <v>0.1342070761017552</v>
      </c>
    </row>
    <row r="8" spans="1:22" x14ac:dyDescent="0.2">
      <c r="A8" t="s">
        <v>7</v>
      </c>
      <c r="B8">
        <f>Returns!B8 - RiskFree!$C8</f>
        <v>4.5173441679285095E-2</v>
      </c>
      <c r="C8">
        <f>Returns!C8 - RiskFree!$C8</f>
        <v>8.4996647101174758E-2</v>
      </c>
      <c r="D8">
        <f>Returns!D8 - RiskFree!$C8</f>
        <v>2.5281768948517681E-2</v>
      </c>
      <c r="E8">
        <f>Returns!E8 - RiskFree!$C8</f>
        <v>6.436005177483177E-2</v>
      </c>
      <c r="F8">
        <f>Returns!F8 - RiskFree!$C8</f>
        <v>0.21455783155972835</v>
      </c>
      <c r="G8">
        <f>Returns!G8 - RiskFree!$C8</f>
        <v>9.9447135378502957E-2</v>
      </c>
      <c r="H8">
        <f>Returns!H8 - RiskFree!$C8</f>
        <v>-1.7831953719408941E-3</v>
      </c>
      <c r="I8">
        <f>Returns!I8 - RiskFree!$C8</f>
        <v>5.3725555965389738E-3</v>
      </c>
      <c r="J8">
        <f>Returns!J8 - RiskFree!$C8</f>
        <v>4.2118360459212842E-2</v>
      </c>
      <c r="K8">
        <f>Returns!K8 - RiskFree!$C8</f>
        <v>1.7286796904327374E-2</v>
      </c>
      <c r="L8">
        <f>Returns!L8 - RiskFree!$C8</f>
        <v>0.12726990106544883</v>
      </c>
      <c r="M8">
        <f>Returns!M8 - RiskFree!$C8</f>
        <v>-2.6391276133842078E-3</v>
      </c>
      <c r="N8">
        <f>Returns!N8 - RiskFree!$C8</f>
        <v>1.1264699161752699E-2</v>
      </c>
      <c r="O8">
        <f>Returns!O8 - RiskFree!$C8</f>
        <v>1.1800565172526411E-2</v>
      </c>
      <c r="P8">
        <f>Returns!P8 - RiskFree!$C8</f>
        <v>9.8021834995336385E-2</v>
      </c>
      <c r="Q8">
        <f>Returns!Q8 - RiskFree!$C8</f>
        <v>-0.219904362423267</v>
      </c>
      <c r="R8">
        <f>Returns!R8 - RiskFree!$C8</f>
        <v>-1.2897338992185437E-2</v>
      </c>
      <c r="S8">
        <f>Returns!S8 - RiskFree!$C8</f>
        <v>6.7803120873436026E-2</v>
      </c>
      <c r="T8">
        <f>Returns!T8 - RiskFree!$C8</f>
        <v>0.13348041792935078</v>
      </c>
      <c r="U8">
        <f>Returns!U8 - RiskFree!$C8</f>
        <v>0.13024752149764646</v>
      </c>
      <c r="V8">
        <f>Returns!V8 - RiskFree!$C8</f>
        <v>-1.0833333333333333E-4</v>
      </c>
    </row>
    <row r="9" spans="1:22" x14ac:dyDescent="0.2">
      <c r="A9" t="s">
        <v>8</v>
      </c>
      <c r="B9">
        <f>Returns!B9 - RiskFree!$C9</f>
        <v>1.8255069950169331E-2</v>
      </c>
      <c r="C9">
        <f>Returns!C9 - RiskFree!$C9</f>
        <v>0.1472190874047343</v>
      </c>
      <c r="D9">
        <f>Returns!D9 - RiskFree!$C9</f>
        <v>0.11037948426973519</v>
      </c>
      <c r="E9">
        <f>Returns!E9 - RiskFree!$C9</f>
        <v>-1.0926266678428678E-2</v>
      </c>
      <c r="F9">
        <f>Returns!F9 - RiskFree!$C9</f>
        <v>7.0468750162543378E-2</v>
      </c>
      <c r="G9">
        <f>Returns!G9 - RiskFree!$C9</f>
        <v>8.6631480741037187E-3</v>
      </c>
      <c r="H9">
        <f>Returns!H9 - RiskFree!$C9</f>
        <v>-5.4700687558700736E-2</v>
      </c>
      <c r="I9">
        <f>Returns!I9 - RiskFree!$C9</f>
        <v>-0.14392026809887107</v>
      </c>
      <c r="J9">
        <f>Returns!J9 - RiskFree!$C9</f>
        <v>-2.835042287708113E-2</v>
      </c>
      <c r="K9">
        <f>Returns!K9 - RiskFree!$C9</f>
        <v>-3.4502028193565862E-2</v>
      </c>
      <c r="L9">
        <f>Returns!L9 - RiskFree!$C9</f>
        <v>5.932156498748363E-2</v>
      </c>
      <c r="M9">
        <f>Returns!M9 - RiskFree!$C9</f>
        <v>-1.6626501101318816E-2</v>
      </c>
      <c r="N9">
        <f>Returns!N9 - RiskFree!$C9</f>
        <v>-2.7077367093234619E-2</v>
      </c>
      <c r="O9">
        <f>Returns!O9 - RiskFree!$C9</f>
        <v>-3.8819545899149302E-3</v>
      </c>
      <c r="P9">
        <f>Returns!P9 - RiskFree!$C9</f>
        <v>2.2893820460638667E-3</v>
      </c>
      <c r="Q9">
        <f>Returns!Q9 - RiskFree!$C9</f>
        <v>0.41376807852880892</v>
      </c>
      <c r="R9">
        <f>Returns!R9 - RiskFree!$C9</f>
        <v>0.1294380648225488</v>
      </c>
      <c r="S9">
        <f>Returns!S9 - RiskFree!$C9</f>
        <v>0.29304014380829724</v>
      </c>
      <c r="T9">
        <f>Returns!T9 - RiskFree!$C9</f>
        <v>-5.5131632244813803E-3</v>
      </c>
      <c r="U9">
        <f>Returns!U9 - RiskFree!$C9</f>
        <v>1.4110717013346083E-2</v>
      </c>
      <c r="V9">
        <f>Returns!V9 - RiskFree!$C9</f>
        <v>-1.0021333696821025E-2</v>
      </c>
    </row>
    <row r="10" spans="1:22" x14ac:dyDescent="0.2">
      <c r="A10" t="s">
        <v>9</v>
      </c>
      <c r="B10">
        <f>Returns!B10 - RiskFree!$C10</f>
        <v>5.4992963642110967E-2</v>
      </c>
      <c r="C10">
        <f>Returns!C10 - RiskFree!$C10</f>
        <v>0.16514320693327461</v>
      </c>
      <c r="D10">
        <f>Returns!D10 - RiskFree!$C10</f>
        <v>7.3206847998066749E-3</v>
      </c>
      <c r="E10">
        <f>Returns!E10 - RiskFree!$C10</f>
        <v>4.9185118694586014E-2</v>
      </c>
      <c r="F10">
        <f>Returns!F10 - RiskFree!$C10</f>
        <v>0.11745597152779101</v>
      </c>
      <c r="G10">
        <f>Returns!G10 - RiskFree!$C10</f>
        <v>0.11703615955432238</v>
      </c>
      <c r="H10">
        <f>Returns!H10 - RiskFree!$C10</f>
        <v>3.6337203112203162E-2</v>
      </c>
      <c r="I10">
        <f>Returns!I10 - RiskFree!$C10</f>
        <v>0.18814625654800748</v>
      </c>
      <c r="J10">
        <f>Returns!J10 - RiskFree!$C10</f>
        <v>2.6465691956445259E-2</v>
      </c>
      <c r="K10">
        <f>Returns!K10 - RiskFree!$C10</f>
        <v>3.7515232296958786E-2</v>
      </c>
      <c r="L10">
        <f>Returns!L10 - RiskFree!$C10</f>
        <v>-2.1611544194280973E-2</v>
      </c>
      <c r="M10">
        <f>Returns!M10 - RiskFree!$C10</f>
        <v>-5.9131064120406099E-2</v>
      </c>
      <c r="N10">
        <f>Returns!N10 - RiskFree!$C10</f>
        <v>-5.9399018561539466E-2</v>
      </c>
      <c r="O10">
        <f>Returns!O10 - RiskFree!$C10</f>
        <v>-0.10124759598520679</v>
      </c>
      <c r="P10">
        <f>Returns!P10 - RiskFree!$C10</f>
        <v>-1.3654122878850107E-2</v>
      </c>
      <c r="Q10">
        <f>Returns!Q10 - RiskFree!$C10</f>
        <v>-0.13990641137224774</v>
      </c>
      <c r="R10">
        <f>Returns!R10 - RiskFree!$C10</f>
        <v>0.14700528770754656</v>
      </c>
      <c r="S10">
        <f>Returns!S10 - RiskFree!$C10</f>
        <v>0.32490448153385759</v>
      </c>
      <c r="T10">
        <f>Returns!T10 - RiskFree!$C10</f>
        <v>-4.5973480759503148E-3</v>
      </c>
      <c r="U10">
        <f>Returns!U10 - RiskFree!$C10</f>
        <v>5.9690591620324793E-2</v>
      </c>
      <c r="V10">
        <f>Returns!V10 - RiskFree!$C10</f>
        <v>5.3095055622159479E-2</v>
      </c>
    </row>
    <row r="11" spans="1:22" x14ac:dyDescent="0.2">
      <c r="A11" t="s">
        <v>10</v>
      </c>
      <c r="B11">
        <f>Returns!B11 - RiskFree!$C11</f>
        <v>6.9981353990885883E-2</v>
      </c>
      <c r="C11">
        <f>Returns!C11 - RiskFree!$C11</f>
        <v>0.2164080236410274</v>
      </c>
      <c r="D11">
        <f>Returns!D11 - RiskFree!$C11</f>
        <v>0.10260821165507782</v>
      </c>
      <c r="E11">
        <f>Returns!E11 - RiskFree!$C11</f>
        <v>9.5070095770374161E-2</v>
      </c>
      <c r="F11">
        <f>Returns!F11 - RiskFree!$C11</f>
        <v>0.25997922986778554</v>
      </c>
      <c r="G11">
        <f>Returns!G11 - RiskFree!$C11</f>
        <v>0.15574904731869499</v>
      </c>
      <c r="H11">
        <f>Returns!H11 - RiskFree!$C11</f>
        <v>5.9393963006863053E-2</v>
      </c>
      <c r="I11">
        <f>Returns!I11 - RiskFree!$C11</f>
        <v>-1.8007428466531594E-2</v>
      </c>
      <c r="J11">
        <f>Returns!J11 - RiskFree!$C11</f>
        <v>3.2111267040898166E-2</v>
      </c>
      <c r="K11">
        <f>Returns!K11 - RiskFree!$C11</f>
        <v>6.2579859508262378E-2</v>
      </c>
      <c r="L11">
        <f>Returns!L11 - RiskFree!$C11</f>
        <v>8.9713915307062433E-3</v>
      </c>
      <c r="M11">
        <f>Returns!M11 - RiskFree!$C11</f>
        <v>-3.2259232631642328E-2</v>
      </c>
      <c r="N11">
        <f>Returns!N11 - RiskFree!$C11</f>
        <v>1.4223200875328126E-2</v>
      </c>
      <c r="O11">
        <f>Returns!O11 - RiskFree!$C11</f>
        <v>1.3311624747507014E-2</v>
      </c>
      <c r="P11">
        <f>Returns!P11 - RiskFree!$C11</f>
        <v>4.7839602573415012E-2</v>
      </c>
      <c r="Q11">
        <f>Returns!Q11 - RiskFree!$C11</f>
        <v>-0.19071951534190312</v>
      </c>
      <c r="R11">
        <f>Returns!R11 - RiskFree!$C11</f>
        <v>9.0377629544429947E-2</v>
      </c>
      <c r="S11">
        <f>Returns!S11 - RiskFree!$C11</f>
        <v>0.74138503691596591</v>
      </c>
      <c r="T11">
        <f>Returns!T11 - RiskFree!$C11</f>
        <v>0.14885519975428185</v>
      </c>
      <c r="U11">
        <f>Returns!U11 - RiskFree!$C11</f>
        <v>7.3461722426082385E-2</v>
      </c>
      <c r="V11">
        <f>Returns!V11 - RiskFree!$C11</f>
        <v>0.10534350456956752</v>
      </c>
    </row>
    <row r="12" spans="1:22" x14ac:dyDescent="0.2">
      <c r="A12" t="s">
        <v>11</v>
      </c>
      <c r="B12">
        <f>Returns!B12 - RiskFree!$C12</f>
        <v>-3.9319620762161063E-2</v>
      </c>
      <c r="C12">
        <f>Returns!C12 - RiskFree!$C12</f>
        <v>-0.10269917368015309</v>
      </c>
      <c r="D12">
        <f>Returns!D12 - RiskFree!$C12</f>
        <v>-6.7426468732704373E-2</v>
      </c>
      <c r="E12">
        <f>Returns!E12 - RiskFree!$C12</f>
        <v>-0.10069241338115993</v>
      </c>
      <c r="F12">
        <f>Returns!F12 - RiskFree!$C12</f>
        <v>1.1886042943251619E-2</v>
      </c>
      <c r="G12">
        <f>Returns!G12 - RiskFree!$C12</f>
        <v>-0.1068447362437472</v>
      </c>
      <c r="H12">
        <f>Returns!H12 - RiskFree!$C12</f>
        <v>-2.9614535667999497E-2</v>
      </c>
      <c r="I12">
        <f>Returns!I12 - RiskFree!$C12</f>
        <v>-2.8924195909368188E-2</v>
      </c>
      <c r="J12">
        <f>Returns!J12 - RiskFree!$C12</f>
        <v>1.5519343388303195E-3</v>
      </c>
      <c r="K12">
        <f>Returns!K12 - RiskFree!$C12</f>
        <v>-2.0193743849928291E-2</v>
      </c>
      <c r="L12">
        <f>Returns!L12 - RiskFree!$C12</f>
        <v>-8.551078211067327E-2</v>
      </c>
      <c r="M12">
        <f>Returns!M12 - RiskFree!$C12</f>
        <v>-0.1405025674222487</v>
      </c>
      <c r="N12">
        <f>Returns!N12 - RiskFree!$C12</f>
        <v>-0.14224244242759793</v>
      </c>
      <c r="O12">
        <f>Returns!O12 - RiskFree!$C12</f>
        <v>-0.13336862348129791</v>
      </c>
      <c r="P12">
        <f>Returns!P12 - RiskFree!$C12</f>
        <v>-0.17610209691438511</v>
      </c>
      <c r="Q12">
        <f>Returns!Q12 - RiskFree!$C12</f>
        <v>-0.21359215877702636</v>
      </c>
      <c r="R12">
        <f>Returns!R12 - RiskFree!$C12</f>
        <v>-8.7673093284187556E-2</v>
      </c>
      <c r="S12">
        <f>Returns!S12 - RiskFree!$C12</f>
        <v>-0.13918273447235824</v>
      </c>
      <c r="T12">
        <f>Returns!T12 - RiskFree!$C12</f>
        <v>0.12188090409493239</v>
      </c>
      <c r="U12">
        <f>Returns!U12 - RiskFree!$C12</f>
        <v>-2.0633663638252874E-2</v>
      </c>
      <c r="V12">
        <f>Returns!V12 - RiskFree!$C12</f>
        <v>2.7869094654362426E-2</v>
      </c>
    </row>
    <row r="13" spans="1:22" x14ac:dyDescent="0.2">
      <c r="A13" t="s">
        <v>12</v>
      </c>
      <c r="B13">
        <f>Returns!B13 - RiskFree!$C13</f>
        <v>-2.7749107939339834E-2</v>
      </c>
      <c r="C13">
        <f>Returns!C13 - RiskFree!$C13</f>
        <v>-6.0029488950684058E-2</v>
      </c>
      <c r="D13">
        <f>Returns!D13 - RiskFree!$C13</f>
        <v>-3.7414246979089023E-2</v>
      </c>
      <c r="E13">
        <f>Returns!E13 - RiskFree!$C13</f>
        <v>0.10261158129414892</v>
      </c>
      <c r="F13">
        <f>Returns!F13 - RiskFree!$C13</f>
        <v>-7.3781898494011636E-2</v>
      </c>
      <c r="G13">
        <f>Returns!G13 - RiskFree!$C13</f>
        <v>4.5367506681940244E-3</v>
      </c>
      <c r="H13">
        <f>Returns!H13 - RiskFree!$C13</f>
        <v>-7.9149426923222813E-2</v>
      </c>
      <c r="I13">
        <f>Returns!I13 - RiskFree!$C13</f>
        <v>-3.3316050961559325E-2</v>
      </c>
      <c r="J13">
        <f>Returns!J13 - RiskFree!$C13</f>
        <v>-2.1366823632694831E-2</v>
      </c>
      <c r="K13">
        <f>Returns!K13 - RiskFree!$C13</f>
        <v>-9.3391394732604285E-2</v>
      </c>
      <c r="L13">
        <f>Returns!L13 - RiskFree!$C13</f>
        <v>-1.525743291060567E-2</v>
      </c>
      <c r="M13">
        <f>Returns!M13 - RiskFree!$C13</f>
        <v>-4.9900125266252433E-2</v>
      </c>
      <c r="N13">
        <f>Returns!N13 - RiskFree!$C13</f>
        <v>-3.4809727944050024E-2</v>
      </c>
      <c r="O13">
        <f>Returns!O13 - RiskFree!$C13</f>
        <v>-0.11789634598084343</v>
      </c>
      <c r="P13">
        <f>Returns!P13 - RiskFree!$C13</f>
        <v>-3.9940727981626963E-2</v>
      </c>
      <c r="Q13">
        <f>Returns!Q13 - RiskFree!$C13</f>
        <v>-8.810577768919349E-2</v>
      </c>
      <c r="R13">
        <f>Returns!R13 - RiskFree!$C13</f>
        <v>-3.583119278098202E-2</v>
      </c>
      <c r="S13">
        <f>Returns!S13 - RiskFree!$C13</f>
        <v>-9.5577833448715413E-2</v>
      </c>
      <c r="T13">
        <f>Returns!T13 - RiskFree!$C13</f>
        <v>-4.3589510186389353E-2</v>
      </c>
      <c r="U13">
        <f>Returns!U13 - RiskFree!$C13</f>
        <v>-3.9721395876671568E-2</v>
      </c>
      <c r="V13">
        <f>Returns!V13 - RiskFree!$C13</f>
        <v>-2.9689637074741825E-2</v>
      </c>
    </row>
    <row r="14" spans="1:22" x14ac:dyDescent="0.2">
      <c r="A14" t="s">
        <v>13</v>
      </c>
      <c r="B14">
        <f>Returns!B14 - RiskFree!$C14</f>
        <v>0.10747065805086313</v>
      </c>
      <c r="C14">
        <f>Returns!C14 - RiskFree!$C14</f>
        <v>9.5460520824501446E-2</v>
      </c>
      <c r="D14">
        <f>Returns!D14 - RiskFree!$C14</f>
        <v>5.9911373718694087E-2</v>
      </c>
      <c r="E14">
        <f>Returns!E14 - RiskFree!$C14</f>
        <v>8.5494394487390976E-2</v>
      </c>
      <c r="F14">
        <f>Returns!F14 - RiskFree!$C14</f>
        <v>6.9189865902835643E-2</v>
      </c>
      <c r="G14">
        <f>Returns!G14 - RiskFree!$C14</f>
        <v>5.2602587320892451E-2</v>
      </c>
      <c r="H14">
        <f>Returns!H14 - RiskFree!$C14</f>
        <v>6.2513377106562504E-2</v>
      </c>
      <c r="I14">
        <f>Returns!I14 - RiskFree!$C14</f>
        <v>9.0799652491369717E-2</v>
      </c>
      <c r="J14">
        <f>Returns!J14 - RiskFree!$C14</f>
        <v>0.10214753531048575</v>
      </c>
      <c r="K14">
        <f>Returns!K14 - RiskFree!$C14</f>
        <v>6.877516113577635E-2</v>
      </c>
      <c r="L14">
        <f>Returns!L14 - RiskFree!$C14</f>
        <v>0.22877128178687151</v>
      </c>
      <c r="M14">
        <f>Returns!M14 - RiskFree!$C14</f>
        <v>0.1970069864112452</v>
      </c>
      <c r="N14">
        <f>Returns!N14 - RiskFree!$C14</f>
        <v>0.2727809284529446</v>
      </c>
      <c r="O14">
        <f>Returns!O14 - RiskFree!$C14</f>
        <v>0.3821602857373157</v>
      </c>
      <c r="P14">
        <f>Returns!P14 - RiskFree!$C14</f>
        <v>0.39147241541157324</v>
      </c>
      <c r="Q14">
        <f>Returns!Q14 - RiskFree!$C14</f>
        <v>0.72632190861970147</v>
      </c>
      <c r="R14">
        <f>Returns!R14 - RiskFree!$C14</f>
        <v>4.3361446037099509E-2</v>
      </c>
      <c r="S14">
        <f>Returns!S14 - RiskFree!$C14</f>
        <v>0.46265703089364246</v>
      </c>
      <c r="T14">
        <f>Returns!T14 - RiskFree!$C14</f>
        <v>0.12168016412178066</v>
      </c>
      <c r="U14">
        <f>Returns!U14 - RiskFree!$C14</f>
        <v>4.0074614128118795E-2</v>
      </c>
      <c r="V14">
        <f>Returns!V14 - RiskFree!$C14</f>
        <v>2.6838825378714896E-2</v>
      </c>
    </row>
    <row r="15" spans="1:22" x14ac:dyDescent="0.2">
      <c r="A15" t="s">
        <v>14</v>
      </c>
      <c r="B15">
        <f>Returns!B15 - RiskFree!$C15</f>
        <v>3.7046406659432311E-2</v>
      </c>
      <c r="C15">
        <f>Returns!C15 - RiskFree!$C15</f>
        <v>0.11449203069911422</v>
      </c>
      <c r="D15">
        <f>Returns!D15 - RiskFree!$C15</f>
        <v>3.8968886314100497E-2</v>
      </c>
      <c r="E15">
        <f>Returns!E15 - RiskFree!$C15</f>
        <v>-1.0783969046864266E-3</v>
      </c>
      <c r="F15">
        <f>Returns!F15 - RiskFree!$C15</f>
        <v>-2.5703362553408056E-2</v>
      </c>
      <c r="G15">
        <f>Returns!G15 - RiskFree!$C15</f>
        <v>-1.3831002455139527E-2</v>
      </c>
      <c r="H15">
        <f>Returns!H15 - RiskFree!$C15</f>
        <v>8.7572345419111783E-2</v>
      </c>
      <c r="I15">
        <f>Returns!I15 - RiskFree!$C15</f>
        <v>-3.9215127031780268E-2</v>
      </c>
      <c r="J15">
        <f>Returns!J15 - RiskFree!$C15</f>
        <v>4.6328052420334047E-2</v>
      </c>
      <c r="K15">
        <f>Returns!K15 - RiskFree!$C15</f>
        <v>2.5511773675944309E-2</v>
      </c>
      <c r="L15">
        <f>Returns!L15 - RiskFree!$C15</f>
        <v>2.460534245341655E-2</v>
      </c>
      <c r="M15">
        <f>Returns!M15 - RiskFree!$C15</f>
        <v>8.0960475813523877E-2</v>
      </c>
      <c r="N15">
        <f>Returns!N15 - RiskFree!$C15</f>
        <v>-3.1376628990401119E-2</v>
      </c>
      <c r="O15">
        <f>Returns!O15 - RiskFree!$C15</f>
        <v>1.0828616908743307E-2</v>
      </c>
      <c r="P15">
        <f>Returns!P15 - RiskFree!$C15</f>
        <v>5.6230090843676854E-2</v>
      </c>
      <c r="Q15">
        <f>Returns!Q15 - RiskFree!$C15</f>
        <v>9.8694309659637144E-2</v>
      </c>
      <c r="R15">
        <f>Returns!R15 - RiskFree!$C15</f>
        <v>2.7980201323215818E-2</v>
      </c>
      <c r="S15">
        <f>Returns!S15 - RiskFree!$C15</f>
        <v>0.24317552854122632</v>
      </c>
      <c r="T15">
        <f>Returns!T15 - RiskFree!$C15</f>
        <v>5.2282290025451421E-2</v>
      </c>
      <c r="U15">
        <f>Returns!U15 - RiskFree!$C15</f>
        <v>-3.7369976254419131E-2</v>
      </c>
      <c r="V15">
        <f>Returns!V15 - RiskFree!$C15</f>
        <v>-1.3181632677600816E-2</v>
      </c>
    </row>
    <row r="16" spans="1:22" x14ac:dyDescent="0.2">
      <c r="A16" t="s">
        <v>15</v>
      </c>
      <c r="B16">
        <f>Returns!B16 - RiskFree!$C16</f>
        <v>-1.1203306825130273E-2</v>
      </c>
      <c r="C16">
        <f>Returns!C16 - RiskFree!$C16</f>
        <v>-5.6139497324084811E-3</v>
      </c>
      <c r="D16">
        <f>Returns!D16 - RiskFree!$C16</f>
        <v>4.2863565891472881E-2</v>
      </c>
      <c r="E16">
        <f>Returns!E16 - RiskFree!$C16</f>
        <v>4.2568424050434921E-2</v>
      </c>
      <c r="F16">
        <f>Returns!F16 - RiskFree!$C16</f>
        <v>-5.0506932071839941E-3</v>
      </c>
      <c r="G16">
        <f>Returns!G16 - RiskFree!$C16</f>
        <v>-5.4357192365890657E-2</v>
      </c>
      <c r="H16">
        <f>Returns!H16 - RiskFree!$C16</f>
        <v>3.6571696641483513E-2</v>
      </c>
      <c r="I16">
        <f>Returns!I16 - RiskFree!$C16</f>
        <v>-1.4202487127173764E-2</v>
      </c>
      <c r="J16">
        <f>Returns!J16 - RiskFree!$C16</f>
        <v>-4.8785108702622877E-2</v>
      </c>
      <c r="K16">
        <f>Returns!K16 - RiskFree!$C16</f>
        <v>-5.790359536059931E-2</v>
      </c>
      <c r="L16">
        <f>Returns!L16 - RiskFree!$C16</f>
        <v>-3.2552395990188783E-2</v>
      </c>
      <c r="M16">
        <f>Returns!M16 - RiskFree!$C16</f>
        <v>8.7756391370661144E-2</v>
      </c>
      <c r="N16">
        <f>Returns!N16 - RiskFree!$C16</f>
        <v>8.7978696364885353E-3</v>
      </c>
      <c r="O16">
        <f>Returns!O16 - RiskFree!$C16</f>
        <v>9.421741055259873E-4</v>
      </c>
      <c r="P16">
        <f>Returns!P16 - RiskFree!$C16</f>
        <v>1.7417438692098212E-2</v>
      </c>
      <c r="Q16">
        <f>Returns!Q16 - RiskFree!$C16</f>
        <v>0.15877220183682472</v>
      </c>
      <c r="R16">
        <f>Returns!R16 - RiskFree!$C16</f>
        <v>-1.5639662011962215E-2</v>
      </c>
      <c r="S16">
        <f>Returns!S16 - RiskFree!$C16</f>
        <v>0.12444071568965052</v>
      </c>
      <c r="T16">
        <f>Returns!T16 - RiskFree!$C16</f>
        <v>-5.5822165918077545E-2</v>
      </c>
      <c r="U16">
        <f>Returns!U16 - RiskFree!$C16</f>
        <v>1.9531750960088738E-2</v>
      </c>
      <c r="V16">
        <f>Returns!V16 - RiskFree!$C16</f>
        <v>-3.1462723883324835E-2</v>
      </c>
    </row>
    <row r="17" spans="1:22" x14ac:dyDescent="0.2">
      <c r="A17" t="s">
        <v>16</v>
      </c>
      <c r="B17">
        <f>Returns!B17 - RiskFree!$C17</f>
        <v>2.6058141638666484E-2</v>
      </c>
      <c r="C17">
        <f>Returns!C17 - RiskFree!$C17</f>
        <v>-7.9773274680486894E-2</v>
      </c>
      <c r="D17">
        <f>Returns!D17 - RiskFree!$C17</f>
        <v>4.0071608021525727E-3</v>
      </c>
      <c r="E17">
        <f>Returns!E17 - RiskFree!$C17</f>
        <v>0.10643747394405922</v>
      </c>
      <c r="F17">
        <f>Returns!F17 - RiskFree!$C17</f>
        <v>5.5845092500405251E-2</v>
      </c>
      <c r="G17">
        <f>Returns!G17 - RiskFree!$C17</f>
        <v>-2.781755893624397E-3</v>
      </c>
      <c r="H17">
        <f>Returns!H17 - RiskFree!$C17</f>
        <v>-2.2606696764484572E-2</v>
      </c>
      <c r="I17">
        <f>Returns!I17 - RiskFree!$C17</f>
        <v>-6.716711012564669E-2</v>
      </c>
      <c r="J17">
        <f>Returns!J17 - RiskFree!$C17</f>
        <v>-4.1521134296416164E-3</v>
      </c>
      <c r="K17">
        <f>Returns!K17 - RiskFree!$C17</f>
        <v>-5.777124536487422E-2</v>
      </c>
      <c r="L17">
        <f>Returns!L17 - RiskFree!$C17</f>
        <v>5.1358475650781436E-2</v>
      </c>
      <c r="M17">
        <f>Returns!M17 - RiskFree!$C17</f>
        <v>0.23310055935266716</v>
      </c>
      <c r="N17">
        <f>Returns!N17 - RiskFree!$C17</f>
        <v>0.19028087950929917</v>
      </c>
      <c r="O17">
        <f>Returns!O17 - RiskFree!$C17</f>
        <v>0.31111089539983716</v>
      </c>
      <c r="P17">
        <f>Returns!P17 - RiskFree!$C17</f>
        <v>0.2624592278509259</v>
      </c>
      <c r="Q17">
        <f>Returns!Q17 - RiskFree!$C17</f>
        <v>0.32654094163683989</v>
      </c>
      <c r="R17">
        <f>Returns!R17 - RiskFree!$C17</f>
        <v>-3.5364878464641543E-2</v>
      </c>
      <c r="S17">
        <f>Returns!S17 - RiskFree!$C17</f>
        <v>-0.1487725114362406</v>
      </c>
      <c r="T17">
        <f>Returns!T17 - RiskFree!$C17</f>
        <v>1.0928536435385047E-2</v>
      </c>
      <c r="U17">
        <f>Returns!U17 - RiskFree!$C17</f>
        <v>-4.61437789027579E-2</v>
      </c>
      <c r="V17">
        <f>Returns!V17 - RiskFree!$C17</f>
        <v>-2.111393944272958E-3</v>
      </c>
    </row>
    <row r="18" spans="1:22" x14ac:dyDescent="0.2">
      <c r="A18" t="s">
        <v>17</v>
      </c>
      <c r="B18">
        <f>Returns!B18 - RiskFree!$C18</f>
        <v>4.241363400810777E-2</v>
      </c>
      <c r="C18">
        <f>Returns!C18 - RiskFree!$C18</f>
        <v>7.3517451271329333E-3</v>
      </c>
      <c r="D18">
        <f>Returns!D18 - RiskFree!$C18</f>
        <v>1.4606156278871459E-2</v>
      </c>
      <c r="E18">
        <f>Returns!E18 - RiskFree!$C18</f>
        <v>2.0048264436965887E-2</v>
      </c>
      <c r="F18">
        <f>Returns!F18 - RiskFree!$C18</f>
        <v>-2.6456396054295454E-2</v>
      </c>
      <c r="G18">
        <f>Returns!G18 - RiskFree!$C18</f>
        <v>0.14324803780762346</v>
      </c>
      <c r="H18">
        <f>Returns!H18 - RiskFree!$C18</f>
        <v>3.7117857142857147E-2</v>
      </c>
      <c r="I18">
        <f>Returns!I18 - RiskFree!$C18</f>
        <v>8.1808797085649532E-2</v>
      </c>
      <c r="J18">
        <f>Returns!J18 - RiskFree!$C18</f>
        <v>0.12390115491736425</v>
      </c>
      <c r="K18">
        <f>Returns!K18 - RiskFree!$C18</f>
        <v>7.085427129737959E-2</v>
      </c>
      <c r="L18">
        <f>Returns!L18 - RiskFree!$C18</f>
        <v>4.3899228387355689E-3</v>
      </c>
      <c r="M18">
        <f>Returns!M18 - RiskFree!$C18</f>
        <v>2.6837877375625204E-2</v>
      </c>
      <c r="N18">
        <f>Returns!N18 - RiskFree!$C18</f>
        <v>4.777169873038839E-2</v>
      </c>
      <c r="O18">
        <f>Returns!O18 - RiskFree!$C18</f>
        <v>1.846781323403451E-2</v>
      </c>
      <c r="P18">
        <f>Returns!P18 - RiskFree!$C18</f>
        <v>-2.5799543633330538E-2</v>
      </c>
      <c r="Q18">
        <f>Returns!Q18 - RiskFree!$C18</f>
        <v>6.8841833636906497E-4</v>
      </c>
      <c r="R18">
        <f>Returns!R18 - RiskFree!$C18</f>
        <v>3.5005011445504443E-4</v>
      </c>
      <c r="S18">
        <f>Returns!S18 - RiskFree!$C18</f>
        <v>-1.1234457869048257E-2</v>
      </c>
      <c r="T18">
        <f>Returns!T18 - RiskFree!$C18</f>
        <v>-1.408019529482735E-2</v>
      </c>
      <c r="U18">
        <f>Returns!U18 - RiskFree!$C18</f>
        <v>0.18901396482713356</v>
      </c>
      <c r="V18">
        <f>Returns!V18 - RiskFree!$C18</f>
        <v>8.7258819896132545E-2</v>
      </c>
    </row>
    <row r="19" spans="1:22" x14ac:dyDescent="0.2">
      <c r="A19" t="s">
        <v>18</v>
      </c>
      <c r="B19">
        <f>Returns!B19 - RiskFree!$C19</f>
        <v>5.2408645889180705E-2</v>
      </c>
      <c r="C19">
        <f>Returns!C19 - RiskFree!$C19</f>
        <v>7.6206647223082347E-2</v>
      </c>
      <c r="D19">
        <f>Returns!D19 - RiskFree!$C19</f>
        <v>6.9553880109150756E-2</v>
      </c>
      <c r="E19">
        <f>Returns!E19 - RiskFree!$C19</f>
        <v>0.14106923836773622</v>
      </c>
      <c r="F19">
        <f>Returns!F19 - RiskFree!$C19</f>
        <v>0.12443618675436008</v>
      </c>
      <c r="G19">
        <f>Returns!G19 - RiskFree!$C19</f>
        <v>0.10370791147477909</v>
      </c>
      <c r="H19">
        <f>Returns!H19 - RiskFree!$C19</f>
        <v>-9.9289323001163794E-3</v>
      </c>
      <c r="I19">
        <f>Returns!I19 - RiskFree!$C19</f>
        <v>6.6765419317795671E-2</v>
      </c>
      <c r="J19">
        <f>Returns!J19 - RiskFree!$C19</f>
        <v>7.1846833982961544E-2</v>
      </c>
      <c r="K19">
        <f>Returns!K19 - RiskFree!$C19</f>
        <v>-3.3598669501963774E-2</v>
      </c>
      <c r="L19">
        <f>Returns!L19 - RiskFree!$C19</f>
        <v>4.279487305707208E-2</v>
      </c>
      <c r="M19">
        <f>Returns!M19 - RiskFree!$C19</f>
        <v>2.5237713927519608E-2</v>
      </c>
      <c r="N19">
        <f>Returns!N19 - RiskFree!$C19</f>
        <v>-1.6329267735430312E-2</v>
      </c>
      <c r="O19">
        <f>Returns!O19 - RiskFree!$C19</f>
        <v>-3.4602553312632511E-2</v>
      </c>
      <c r="P19">
        <f>Returns!P19 - RiskFree!$C19</f>
        <v>-5.1726308017195927E-3</v>
      </c>
      <c r="Q19">
        <f>Returns!Q19 - RiskFree!$C19</f>
        <v>-4.7326570044645244E-2</v>
      </c>
      <c r="R19">
        <f>Returns!R19 - RiskFree!$C19</f>
        <v>0.12064601820250276</v>
      </c>
      <c r="S19">
        <f>Returns!S19 - RiskFree!$C19</f>
        <v>6.2132154540377793E-2</v>
      </c>
      <c r="T19">
        <f>Returns!T19 - RiskFree!$C19</f>
        <v>-2.0662858046029981E-3</v>
      </c>
      <c r="U19">
        <f>Returns!U19 - RiskFree!$C19</f>
        <v>6.0303605905735469E-2</v>
      </c>
      <c r="V19">
        <f>Returns!V19 - RiskFree!$C19</f>
        <v>5.325242409065678E-2</v>
      </c>
    </row>
    <row r="20" spans="1:22" x14ac:dyDescent="0.2">
      <c r="A20" t="s">
        <v>19</v>
      </c>
      <c r="B20">
        <f>Returns!B20 - RiskFree!$C20</f>
        <v>5.4698359151464909E-3</v>
      </c>
      <c r="C20">
        <f>Returns!C20 - RiskFree!$C20</f>
        <v>-5.0522502637397326E-2</v>
      </c>
      <c r="D20">
        <f>Returns!D20 - RiskFree!$C20</f>
        <v>-7.6582216637606244E-3</v>
      </c>
      <c r="E20">
        <f>Returns!E20 - RiskFree!$C20</f>
        <v>1.3991115849324425E-3</v>
      </c>
      <c r="F20">
        <f>Returns!F20 - RiskFree!$C20</f>
        <v>8.2191029287715822E-2</v>
      </c>
      <c r="G20">
        <f>Returns!G20 - RiskFree!$C20</f>
        <v>1.1211338747385445E-2</v>
      </c>
      <c r="H20">
        <f>Returns!H20 - RiskFree!$C20</f>
        <v>4.6615857221497303E-2</v>
      </c>
      <c r="I20">
        <f>Returns!I20 - RiskFree!$C20</f>
        <v>1.1936837415318922E-2</v>
      </c>
      <c r="J20">
        <f>Returns!J20 - RiskFree!$C20</f>
        <v>3.2890586682792988E-2</v>
      </c>
      <c r="K20">
        <f>Returns!K20 - RiskFree!$C20</f>
        <v>1.8635338912402207E-2</v>
      </c>
      <c r="L20">
        <f>Returns!L20 - RiskFree!$C20</f>
        <v>1.5231945795426303E-2</v>
      </c>
      <c r="M20">
        <f>Returns!M20 - RiskFree!$C20</f>
        <v>3.45705578242127E-2</v>
      </c>
      <c r="N20">
        <f>Returns!N20 - RiskFree!$C20</f>
        <v>1.9313958793598759E-2</v>
      </c>
      <c r="O20">
        <f>Returns!O20 - RiskFree!$C20</f>
        <v>9.8453533633555135E-2</v>
      </c>
      <c r="P20">
        <f>Returns!P20 - RiskFree!$C20</f>
        <v>0.15820723752203791</v>
      </c>
      <c r="Q20">
        <f>Returns!Q20 - RiskFree!$C20</f>
        <v>2.364672016303648E-2</v>
      </c>
      <c r="R20">
        <f>Returns!R20 - RiskFree!$C20</f>
        <v>-7.048404587080126E-2</v>
      </c>
      <c r="S20">
        <f>Returns!S20 - RiskFree!$C20</f>
        <v>-0.11872860847992772</v>
      </c>
      <c r="T20">
        <f>Returns!T20 - RiskFree!$C20</f>
        <v>3.1143286739010564E-2</v>
      </c>
      <c r="U20">
        <f>Returns!U20 - RiskFree!$C20</f>
        <v>-1.4711207867936673E-2</v>
      </c>
      <c r="V20">
        <f>Returns!V20 - RiskFree!$C20</f>
        <v>-3.825091871837218E-3</v>
      </c>
    </row>
    <row r="21" spans="1:22" x14ac:dyDescent="0.2">
      <c r="A21" t="s">
        <v>20</v>
      </c>
      <c r="B21">
        <f>Returns!B21 - RiskFree!$C21</f>
        <v>2.2180642989836127E-2</v>
      </c>
      <c r="C21">
        <f>Returns!C21 - RiskFree!$C21</f>
        <v>9.914441678132313E-2</v>
      </c>
      <c r="D21">
        <f>Returns!D21 - RiskFree!$C21</f>
        <v>8.4968007121596578E-2</v>
      </c>
      <c r="E21">
        <f>Returns!E21 - RiskFree!$C21</f>
        <v>3.6017971429220356E-2</v>
      </c>
      <c r="F21">
        <f>Returns!F21 - RiskFree!$C21</f>
        <v>0.23166849108562304</v>
      </c>
      <c r="G21">
        <f>Returns!G21 - RiskFree!$C21</f>
        <v>5.7704019509424935E-2</v>
      </c>
      <c r="H21">
        <f>Returns!H21 - RiskFree!$C21</f>
        <v>-2.6709741442470184E-2</v>
      </c>
      <c r="I21">
        <f>Returns!I21 - RiskFree!$C21</f>
        <v>1.1087004021556931E-2</v>
      </c>
      <c r="J21">
        <f>Returns!J21 - RiskFree!$C21</f>
        <v>-2.4345860048616389E-2</v>
      </c>
      <c r="K21">
        <f>Returns!K21 - RiskFree!$C21</f>
        <v>3.3549648102408895E-2</v>
      </c>
      <c r="L21">
        <f>Returns!L21 - RiskFree!$C21</f>
        <v>-4.9177511013421861E-3</v>
      </c>
      <c r="M21">
        <f>Returns!M21 - RiskFree!$C21</f>
        <v>8.0657934381730412E-2</v>
      </c>
      <c r="N21">
        <f>Returns!N21 - RiskFree!$C21</f>
        <v>9.1488552878340422E-3</v>
      </c>
      <c r="O21">
        <f>Returns!O21 - RiskFree!$C21</f>
        <v>9.2518811119102651E-2</v>
      </c>
      <c r="P21">
        <f>Returns!P21 - RiskFree!$C21</f>
        <v>2.5778113196818216E-2</v>
      </c>
      <c r="Q21">
        <f>Returns!Q21 - RiskFree!$C21</f>
        <v>0.20490723289148449</v>
      </c>
      <c r="R21">
        <f>Returns!R21 - RiskFree!$C21</f>
        <v>6.7318392345210309E-2</v>
      </c>
      <c r="S21">
        <f>Returns!S21 - RiskFree!$C21</f>
        <v>8.7103854956887217E-2</v>
      </c>
      <c r="T21">
        <f>Returns!T21 - RiskFree!$C21</f>
        <v>0.13202517105895528</v>
      </c>
      <c r="U21">
        <f>Returns!U21 - RiskFree!$C21</f>
        <v>5.119439869637251E-3</v>
      </c>
      <c r="V21">
        <f>Returns!V21 - RiskFree!$C21</f>
        <v>-1.2425991434746323E-2</v>
      </c>
    </row>
    <row r="22" spans="1:22" x14ac:dyDescent="0.2">
      <c r="A22" t="s">
        <v>21</v>
      </c>
      <c r="B22">
        <f>Returns!B22 - RiskFree!$C22</f>
        <v>2.2706442699243875E-2</v>
      </c>
      <c r="C22">
        <f>Returns!C22 - RiskFree!$C22</f>
        <v>6.4891946816278578E-2</v>
      </c>
      <c r="D22">
        <f>Returns!D22 - RiskFree!$C22</f>
        <v>5.1671984764163841E-2</v>
      </c>
      <c r="E22">
        <f>Returns!E22 - RiskFree!$C22</f>
        <v>0.10346925409717028</v>
      </c>
      <c r="F22">
        <f>Returns!F22 - RiskFree!$C22</f>
        <v>-2.5152745496319132E-2</v>
      </c>
      <c r="G22">
        <f>Returns!G22 - RiskFree!$C22</f>
        <v>2.4662828458581528E-2</v>
      </c>
      <c r="H22">
        <f>Returns!H22 - RiskFree!$C22</f>
        <v>4.5292743203833523E-2</v>
      </c>
      <c r="I22">
        <f>Returns!I22 - RiskFree!$C22</f>
        <v>0.10304411693665255</v>
      </c>
      <c r="J22">
        <f>Returns!J22 - RiskFree!$C22</f>
        <v>2.9358540433139398E-2</v>
      </c>
      <c r="K22">
        <f>Returns!K22 - RiskFree!$C22</f>
        <v>-1.1617435922143099E-2</v>
      </c>
      <c r="L22">
        <f>Returns!L22 - RiskFree!$C22</f>
        <v>4.3935641457666645E-2</v>
      </c>
      <c r="M22">
        <f>Returns!M22 - RiskFree!$C22</f>
        <v>-8.738950653969918E-2</v>
      </c>
      <c r="N22">
        <f>Returns!N22 - RiskFree!$C22</f>
        <v>-2.8030159767901634E-2</v>
      </c>
      <c r="O22">
        <f>Returns!O22 - RiskFree!$C22</f>
        <v>-7.2481332039241952E-2</v>
      </c>
      <c r="P22">
        <f>Returns!P22 - RiskFree!$C22</f>
        <v>-9.9391190482281899E-2</v>
      </c>
      <c r="Q22">
        <f>Returns!Q22 - RiskFree!$C22</f>
        <v>-0.16534599120205579</v>
      </c>
      <c r="R22">
        <f>Returns!R22 - RiskFree!$C22</f>
        <v>-3.2761075066276076E-2</v>
      </c>
      <c r="S22">
        <f>Returns!S22 - RiskFree!$C22</f>
        <v>1.0992596928649562E-2</v>
      </c>
      <c r="T22">
        <f>Returns!T22 - RiskFree!$C22</f>
        <v>8.4200371633524285E-2</v>
      </c>
      <c r="U22">
        <f>Returns!U22 - RiskFree!$C22</f>
        <v>2.9155863596691808E-2</v>
      </c>
      <c r="V22">
        <f>Returns!V22 - RiskFree!$C22</f>
        <v>5.07103728573624E-2</v>
      </c>
    </row>
    <row r="23" spans="1:22" x14ac:dyDescent="0.2">
      <c r="A23" t="s">
        <v>22</v>
      </c>
      <c r="B23">
        <f>Returns!B23 - RiskFree!$C23</f>
        <v>2.8948654725014452E-2</v>
      </c>
      <c r="C23">
        <f>Returns!C23 - RiskFree!$C23</f>
        <v>4.2482943454442527E-2</v>
      </c>
      <c r="D23">
        <f>Returns!D23 - RiskFree!$C23</f>
        <v>6.15700846020018E-2</v>
      </c>
      <c r="E23">
        <f>Returns!E23 - RiskFree!$C23</f>
        <v>7.395956991530156E-2</v>
      </c>
      <c r="F23">
        <f>Returns!F23 - RiskFree!$C23</f>
        <v>0.14808802195731846</v>
      </c>
      <c r="G23">
        <f>Returns!G23 - RiskFree!$C23</f>
        <v>6.4735206754607477E-2</v>
      </c>
      <c r="H23">
        <f>Returns!H23 - RiskFree!$C23</f>
        <v>1.1266564083997116E-2</v>
      </c>
      <c r="I23">
        <f>Returns!I23 - RiskFree!$C23</f>
        <v>7.6104923670127278E-2</v>
      </c>
      <c r="J23">
        <f>Returns!J23 - RiskFree!$C23</f>
        <v>9.7854432602620337E-3</v>
      </c>
      <c r="K23">
        <f>Returns!K23 - RiskFree!$C23</f>
        <v>-7.593594292943877E-3</v>
      </c>
      <c r="L23">
        <f>Returns!L23 - RiskFree!$C23</f>
        <v>3.8348930078360648E-2</v>
      </c>
      <c r="M23">
        <f>Returns!M23 - RiskFree!$C23</f>
        <v>-3.8689637936149053E-2</v>
      </c>
      <c r="N23">
        <f>Returns!N23 - RiskFree!$C23</f>
        <v>-3.6774823421021292E-2</v>
      </c>
      <c r="O23">
        <f>Returns!O23 - RiskFree!$C23</f>
        <v>-9.4995916009243449E-3</v>
      </c>
      <c r="P23">
        <f>Returns!P23 - RiskFree!$C23</f>
        <v>-2.3132410484752956E-2</v>
      </c>
      <c r="Q23">
        <f>Returns!Q23 - RiskFree!$C23</f>
        <v>-1.5757399410289589E-2</v>
      </c>
      <c r="R23">
        <f>Returns!R23 - RiskFree!$C23</f>
        <v>4.2992351845173631E-2</v>
      </c>
      <c r="S23">
        <f>Returns!S23 - RiskFree!$C23</f>
        <v>7.0562130475654128E-2</v>
      </c>
      <c r="T23">
        <f>Returns!T23 - RiskFree!$C23</f>
        <v>-1.4924655374244427E-2</v>
      </c>
      <c r="U23">
        <f>Returns!U23 - RiskFree!$C23</f>
        <v>-6.1953188213906317E-3</v>
      </c>
      <c r="V23">
        <f>Returns!V23 - RiskFree!$C23</f>
        <v>-1.6336385576377125E-2</v>
      </c>
    </row>
    <row r="24" spans="1:22" x14ac:dyDescent="0.2">
      <c r="A24" t="s">
        <v>23</v>
      </c>
      <c r="B24">
        <f>Returns!B24 - RiskFree!$C24</f>
        <v>-4.760247375449967E-2</v>
      </c>
      <c r="C24">
        <f>Returns!C24 - RiskFree!$C24</f>
        <v>-6.8150938546511219E-2</v>
      </c>
      <c r="D24">
        <f>Returns!D24 - RiskFree!$C24</f>
        <v>-6.6145265348831472E-2</v>
      </c>
      <c r="E24">
        <f>Returns!E24 - RiskFree!$C24</f>
        <v>-7.620465291023637E-2</v>
      </c>
      <c r="F24">
        <f>Returns!F24 - RiskFree!$C24</f>
        <v>-7.4627536037305986E-2</v>
      </c>
      <c r="G24">
        <f>Returns!G24 - RiskFree!$C24</f>
        <v>-0.10544215825821079</v>
      </c>
      <c r="H24">
        <f>Returns!H24 - RiskFree!$C24</f>
        <v>-6.7147907840773846E-2</v>
      </c>
      <c r="I24">
        <f>Returns!I24 - RiskFree!$C24</f>
        <v>-6.6444378705359575E-2</v>
      </c>
      <c r="J24">
        <f>Returns!J24 - RiskFree!$C24</f>
        <v>-5.8059503600987224E-2</v>
      </c>
      <c r="K24">
        <f>Returns!K24 - RiskFree!$C24</f>
        <v>-6.6735439340955861E-3</v>
      </c>
      <c r="L24">
        <f>Returns!L24 - RiskFree!$C24</f>
        <v>-0.10677627605663231</v>
      </c>
      <c r="M24">
        <f>Returns!M24 - RiskFree!$C24</f>
        <v>7.8849089976763764E-2</v>
      </c>
      <c r="N24">
        <f>Returns!N24 - RiskFree!$C24</f>
        <v>4.8325029502214838E-2</v>
      </c>
      <c r="O24">
        <f>Returns!O24 - RiskFree!$C24</f>
        <v>0.22040749930864556</v>
      </c>
      <c r="P24">
        <f>Returns!P24 - RiskFree!$C24</f>
        <v>5.7013463577161964E-2</v>
      </c>
      <c r="Q24">
        <f>Returns!Q24 - RiskFree!$C24</f>
        <v>0.15181294680791169</v>
      </c>
      <c r="R24">
        <f>Returns!R24 - RiskFree!$C24</f>
        <v>-5.3554135453881775E-2</v>
      </c>
      <c r="S24">
        <f>Returns!S24 - RiskFree!$C24</f>
        <v>5.4007606154515157E-2</v>
      </c>
      <c r="T24">
        <f>Returns!T24 - RiskFree!$C24</f>
        <v>-0.11845592256362025</v>
      </c>
      <c r="U24">
        <f>Returns!U24 - RiskFree!$C24</f>
        <v>1.1484217371169111E-2</v>
      </c>
      <c r="V24">
        <f>Returns!V24 - RiskFree!$C24</f>
        <v>1.5336361957045682E-2</v>
      </c>
    </row>
    <row r="25" spans="1:22" x14ac:dyDescent="0.2">
      <c r="A25" t="s">
        <v>24</v>
      </c>
      <c r="B25">
        <f>Returns!B25 - RiskFree!$C25</f>
        <v>6.9102206634567953E-2</v>
      </c>
      <c r="C25">
        <f>Returns!C25 - RiskFree!$C25</f>
        <v>5.8644607701928302E-2</v>
      </c>
      <c r="D25">
        <f>Returns!D25 - RiskFree!$C25</f>
        <v>0.17622047350307707</v>
      </c>
      <c r="E25">
        <f>Returns!E25 - RiskFree!$C25</f>
        <v>0.10745647512757156</v>
      </c>
      <c r="F25">
        <f>Returns!F25 - RiskFree!$C25</f>
        <v>0.23421099677920104</v>
      </c>
      <c r="G25">
        <f>Returns!G25 - RiskFree!$C25</f>
        <v>-4.6654707710893036E-2</v>
      </c>
      <c r="H25">
        <f>Returns!H25 - RiskFree!$C25</f>
        <v>8.4842949824959716E-3</v>
      </c>
      <c r="I25">
        <f>Returns!I25 - RiskFree!$C25</f>
        <v>1.6926653646400832E-2</v>
      </c>
      <c r="J25">
        <f>Returns!J25 - RiskFree!$C25</f>
        <v>0.17842062268107389</v>
      </c>
      <c r="K25">
        <f>Returns!K25 - RiskFree!$C25</f>
        <v>0.17224603912313557</v>
      </c>
      <c r="L25">
        <f>Returns!L25 - RiskFree!$C25</f>
        <v>7.5767159013000296E-2</v>
      </c>
      <c r="M25">
        <f>Returns!M25 - RiskFree!$C25</f>
        <v>9.60124875057769E-2</v>
      </c>
      <c r="N25">
        <f>Returns!N25 - RiskFree!$C25</f>
        <v>0.12844608681204789</v>
      </c>
      <c r="O25">
        <f>Returns!O25 - RiskFree!$C25</f>
        <v>0.10572359775808154</v>
      </c>
      <c r="P25">
        <f>Returns!P25 - RiskFree!$C25</f>
        <v>8.8360093872498491E-2</v>
      </c>
      <c r="Q25">
        <f>Returns!Q25 - RiskFree!$C25</f>
        <v>0.13348171936309622</v>
      </c>
      <c r="R25">
        <f>Returns!R25 - RiskFree!$C25</f>
        <v>2.6563793236409169E-2</v>
      </c>
      <c r="S25">
        <f>Returns!S25 - RiskFree!$C25</f>
        <v>0.43648852950885858</v>
      </c>
      <c r="T25">
        <f>Returns!T25 - RiskFree!$C25</f>
        <v>0.15184427072439505</v>
      </c>
      <c r="U25">
        <f>Returns!U25 - RiskFree!$C25</f>
        <v>0.13240567394401609</v>
      </c>
      <c r="V25">
        <f>Returns!V25 - RiskFree!$C25</f>
        <v>1.8412734588642062E-2</v>
      </c>
    </row>
    <row r="26" spans="1:22" x14ac:dyDescent="0.2">
      <c r="A26" t="s">
        <v>25</v>
      </c>
      <c r="B26">
        <f>Returns!B26 - RiskFree!$C26</f>
        <v>-8.3753980851381579E-3</v>
      </c>
      <c r="C26">
        <f>Returns!C26 - RiskFree!$C26</f>
        <v>0.10507649177584583</v>
      </c>
      <c r="D26">
        <f>Returns!D26 - RiskFree!$C26</f>
        <v>-1.3093177000037027E-3</v>
      </c>
      <c r="E26">
        <f>Returns!E26 - RiskFree!$C26</f>
        <v>-4.1577552126056246E-2</v>
      </c>
      <c r="F26">
        <f>Returns!F26 - RiskFree!$C26</f>
        <v>0.27796554279967617</v>
      </c>
      <c r="G26">
        <f>Returns!G26 - RiskFree!$C26</f>
        <v>2.7088973534835034E-3</v>
      </c>
      <c r="H26">
        <f>Returns!H26 - RiskFree!$C26</f>
        <v>-3.6419370736327124E-2</v>
      </c>
      <c r="I26">
        <f>Returns!I26 - RiskFree!$C26</f>
        <v>0.23915414810308128</v>
      </c>
      <c r="J26">
        <f>Returns!J26 - RiskFree!$C26</f>
        <v>-3.5330695246247053E-2</v>
      </c>
      <c r="K26">
        <f>Returns!K26 - RiskFree!$C26</f>
        <v>-0.14927437767114043</v>
      </c>
      <c r="L26">
        <f>Returns!L26 - RiskFree!$C26</f>
        <v>5.3858278061685262E-3</v>
      </c>
      <c r="M26">
        <f>Returns!M26 - RiskFree!$C26</f>
        <v>-5.9386539280786028E-2</v>
      </c>
      <c r="N26">
        <f>Returns!N26 - RiskFree!$C26</f>
        <v>-2.7238098180476004E-3</v>
      </c>
      <c r="O26">
        <f>Returns!O26 - RiskFree!$C26</f>
        <v>-5.8574748881797541E-2</v>
      </c>
      <c r="P26">
        <f>Returns!P26 - RiskFree!$C26</f>
        <v>-0.10724195479192539</v>
      </c>
      <c r="Q26">
        <f>Returns!Q26 - RiskFree!$C26</f>
        <v>-0.11577293667220206</v>
      </c>
      <c r="R26">
        <f>Returns!R26 - RiskFree!$C26</f>
        <v>3.9881949468831661E-2</v>
      </c>
      <c r="S26">
        <f>Returns!S26 - RiskFree!$C26</f>
        <v>2.7572361712173751E-2</v>
      </c>
      <c r="T26">
        <f>Returns!T26 - RiskFree!$C26</f>
        <v>1.1658239516185992E-2</v>
      </c>
      <c r="U26">
        <f>Returns!U26 - RiskFree!$C26</f>
        <v>7.7623961578400957E-2</v>
      </c>
      <c r="V26">
        <f>Returns!V26 - RiskFree!$C26</f>
        <v>1.6037036881973398E-3</v>
      </c>
    </row>
    <row r="27" spans="1:22" x14ac:dyDescent="0.2">
      <c r="A27" t="s">
        <v>26</v>
      </c>
      <c r="B27">
        <f>Returns!B27 - RiskFree!$C27</f>
        <v>4.3562874972629888E-2</v>
      </c>
      <c r="C27">
        <f>Returns!C27 - RiskFree!$C27</f>
        <v>7.4153337457450896E-2</v>
      </c>
      <c r="D27">
        <f>Returns!D27 - RiskFree!$C27</f>
        <v>1.728827796483922E-2</v>
      </c>
      <c r="E27">
        <f>Returns!E27 - RiskFree!$C27</f>
        <v>2.0779796865274862E-2</v>
      </c>
      <c r="F27">
        <f>Returns!F27 - RiskFree!$C27</f>
        <v>-9.9843667777529066E-2</v>
      </c>
      <c r="G27">
        <f>Returns!G27 - RiskFree!$C27</f>
        <v>3.6595503297787262E-2</v>
      </c>
      <c r="H27">
        <f>Returns!H27 - RiskFree!$C27</f>
        <v>9.7019295722738152E-2</v>
      </c>
      <c r="I27">
        <f>Returns!I27 - RiskFree!$C27</f>
        <v>9.8946164518335711E-2</v>
      </c>
      <c r="J27">
        <f>Returns!J27 - RiskFree!$C27</f>
        <v>0.13402222961595534</v>
      </c>
      <c r="K27">
        <f>Returns!K27 - RiskFree!$C27</f>
        <v>3.2742255005500868E-2</v>
      </c>
      <c r="L27">
        <f>Returns!L27 - RiskFree!$C27</f>
        <v>0.17442257193839394</v>
      </c>
      <c r="M27">
        <f>Returns!M27 - RiskFree!$C27</f>
        <v>2.2505071590026675E-2</v>
      </c>
      <c r="N27">
        <f>Returns!N27 - RiskFree!$C27</f>
        <v>3.9611122737452813E-2</v>
      </c>
      <c r="O27">
        <f>Returns!O27 - RiskFree!$C27</f>
        <v>3.2031895054894448E-2</v>
      </c>
      <c r="P27">
        <f>Returns!P27 - RiskFree!$C27</f>
        <v>4.4228601683669592E-2</v>
      </c>
      <c r="Q27">
        <f>Returns!Q27 - RiskFree!$C27</f>
        <v>-2.1966186406657158E-2</v>
      </c>
      <c r="R27">
        <f>Returns!R27 - RiskFree!$C27</f>
        <v>-4.930465059251566E-2</v>
      </c>
      <c r="S27">
        <f>Returns!S27 - RiskFree!$C27</f>
        <v>-7.6905343604472876E-2</v>
      </c>
      <c r="T27">
        <f>Returns!T27 - RiskFree!$C27</f>
        <v>-1.3511124273099312E-2</v>
      </c>
      <c r="U27">
        <f>Returns!U27 - RiskFree!$C27</f>
        <v>4.0171290329211622E-2</v>
      </c>
      <c r="V27">
        <f>Returns!V27 - RiskFree!$C27</f>
        <v>9.5901848523480271E-2</v>
      </c>
    </row>
    <row r="28" spans="1:22" x14ac:dyDescent="0.2">
      <c r="A28" t="s">
        <v>27</v>
      </c>
      <c r="B28">
        <f>Returns!B28 - RiskFree!$C28</f>
        <v>-5.2710089106999772E-2</v>
      </c>
      <c r="C28">
        <f>Returns!C28 - RiskFree!$C28</f>
        <v>-1.5837206470541168E-2</v>
      </c>
      <c r="D28">
        <f>Returns!D28 - RiskFree!$C28</f>
        <v>-7.5476867781906057E-2</v>
      </c>
      <c r="E28">
        <f>Returns!E28 - RiskFree!$C28</f>
        <v>-6.6043838209923281E-2</v>
      </c>
      <c r="F28">
        <f>Returns!F28 - RiskFree!$C28</f>
        <v>-0.16757782215630251</v>
      </c>
      <c r="G28">
        <f>Returns!G28 - RiskFree!$C28</f>
        <v>-6.8773729002527165E-2</v>
      </c>
      <c r="H28">
        <f>Returns!H28 - RiskFree!$C28</f>
        <v>6.9899185323828855E-3</v>
      </c>
      <c r="I28">
        <f>Returns!I28 - RiskFree!$C28</f>
        <v>-0.10103911066544043</v>
      </c>
      <c r="J28">
        <f>Returns!J28 - RiskFree!$C28</f>
        <v>-5.9007787542035908E-2</v>
      </c>
      <c r="K28">
        <f>Returns!K28 - RiskFree!$C28</f>
        <v>6.3037221280396169E-2</v>
      </c>
      <c r="L28">
        <f>Returns!L28 - RiskFree!$C28</f>
        <v>2.1390772350237494E-2</v>
      </c>
      <c r="M28">
        <f>Returns!M28 - RiskFree!$C28</f>
        <v>0.24125425175558263</v>
      </c>
      <c r="N28">
        <f>Returns!N28 - RiskFree!$C28</f>
        <v>0.11905147370419093</v>
      </c>
      <c r="O28">
        <f>Returns!O28 - RiskFree!$C28</f>
        <v>0.2276392295127227</v>
      </c>
      <c r="P28">
        <f>Returns!P28 - RiskFree!$C28</f>
        <v>0.30439195977771</v>
      </c>
      <c r="Q28">
        <f>Returns!Q28 - RiskFree!$C28</f>
        <v>0.29927742646854222</v>
      </c>
      <c r="R28">
        <f>Returns!R28 - RiskFree!$C28</f>
        <v>-0.10295194626222877</v>
      </c>
      <c r="S28">
        <f>Returns!S28 - RiskFree!$C28</f>
        <v>-0.11373426588315445</v>
      </c>
      <c r="T28">
        <f>Returns!T28 - RiskFree!$C28</f>
        <v>-0.11173945257068003</v>
      </c>
      <c r="U28">
        <f>Returns!U28 - RiskFree!$C28</f>
        <v>-0.11585401871178898</v>
      </c>
      <c r="V28">
        <f>Returns!V28 - RiskFree!$C28</f>
        <v>-3.2310231940381698E-2</v>
      </c>
    </row>
    <row r="29" spans="1:22" x14ac:dyDescent="0.2">
      <c r="A29" t="s">
        <v>28</v>
      </c>
      <c r="B29">
        <f>Returns!B29 - RiskFree!$C29</f>
        <v>-3.1635520866782646E-2</v>
      </c>
      <c r="C29">
        <f>Returns!C29 - RiskFree!$C29</f>
        <v>-5.431756805532903E-2</v>
      </c>
      <c r="D29">
        <f>Returns!D29 - RiskFree!$C29</f>
        <v>-3.7487984956452974E-2</v>
      </c>
      <c r="E29">
        <f>Returns!E29 - RiskFree!$C29</f>
        <v>-2.0997227682379742E-3</v>
      </c>
      <c r="F29">
        <f>Returns!F29 - RiskFree!$C29</f>
        <v>-4.3943675727638768E-3</v>
      </c>
      <c r="G29">
        <f>Returns!G29 - RiskFree!$C29</f>
        <v>-0.32661733544020943</v>
      </c>
      <c r="H29">
        <f>Returns!H29 - RiskFree!$C29</f>
        <v>-3.8945939610907837E-2</v>
      </c>
      <c r="I29">
        <f>Returns!I29 - RiskFree!$C29</f>
        <v>-0.10940420283076654</v>
      </c>
      <c r="J29">
        <f>Returns!J29 - RiskFree!$C29</f>
        <v>6.7084118827500901E-3</v>
      </c>
      <c r="K29">
        <f>Returns!K29 - RiskFree!$C29</f>
        <v>-6.0415166975012563E-2</v>
      </c>
      <c r="L29">
        <f>Returns!L29 - RiskFree!$C29</f>
        <v>7.9145403073756421E-2</v>
      </c>
      <c r="M29">
        <f>Returns!M29 - RiskFree!$C29</f>
        <v>4.3557935266864273E-2</v>
      </c>
      <c r="N29">
        <f>Returns!N29 - RiskFree!$C29</f>
        <v>0.10767811119525431</v>
      </c>
      <c r="O29">
        <f>Returns!O29 - RiskFree!$C29</f>
        <v>7.013265656035686E-2</v>
      </c>
      <c r="P29">
        <f>Returns!P29 - RiskFree!$C29</f>
        <v>7.1981931341174284E-3</v>
      </c>
      <c r="Q29">
        <f>Returns!Q29 - RiskFree!$C29</f>
        <v>0.16060921807785891</v>
      </c>
      <c r="R29">
        <f>Returns!R29 - RiskFree!$C29</f>
        <v>2.6394073502079143E-2</v>
      </c>
      <c r="S29">
        <f>Returns!S29 - RiskFree!$C29</f>
        <v>-7.1044280040994251E-2</v>
      </c>
      <c r="T29">
        <f>Returns!T29 - RiskFree!$C29</f>
        <v>-7.8053460404251401E-2</v>
      </c>
      <c r="U29">
        <f>Returns!U29 - RiskFree!$C29</f>
        <v>-0.13964506774216076</v>
      </c>
      <c r="V29">
        <f>Returns!V29 - RiskFree!$C29</f>
        <v>-5.1590799843948182E-2</v>
      </c>
    </row>
    <row r="30" spans="1:22" x14ac:dyDescent="0.2">
      <c r="A30" t="s">
        <v>29</v>
      </c>
      <c r="B30">
        <f>Returns!B30 - RiskFree!$C30</f>
        <v>3.5406572106613424E-2</v>
      </c>
      <c r="C30">
        <f>Returns!C30 - RiskFree!$C30</f>
        <v>5.7071067579959237E-2</v>
      </c>
      <c r="D30">
        <f>Returns!D30 - RiskFree!$C30</f>
        <v>3.1486403508772035E-2</v>
      </c>
      <c r="E30">
        <f>Returns!E30 - RiskFree!$C30</f>
        <v>2.9335567874721094E-2</v>
      </c>
      <c r="F30">
        <f>Returns!F30 - RiskFree!$C30</f>
        <v>0.11877992726715077</v>
      </c>
      <c r="G30">
        <f>Returns!G30 - RiskFree!$C30</f>
        <v>5.3322382283719619E-2</v>
      </c>
      <c r="H30">
        <f>Returns!H30 - RiskFree!$C30</f>
        <v>7.6560700019415021E-2</v>
      </c>
      <c r="I30">
        <f>Returns!I30 - RiskFree!$C30</f>
        <v>0.10252969476291525</v>
      </c>
      <c r="J30">
        <f>Returns!J30 - RiskFree!$C30</f>
        <v>7.4455686833224635E-2</v>
      </c>
      <c r="K30">
        <f>Returns!K30 - RiskFree!$C30</f>
        <v>8.0590662036114494E-2</v>
      </c>
      <c r="L30">
        <f>Returns!L30 - RiskFree!$C30</f>
        <v>9.6682741823242949E-2</v>
      </c>
      <c r="M30">
        <f>Returns!M30 - RiskFree!$C30</f>
        <v>5.2807832441693806E-2</v>
      </c>
      <c r="N30">
        <f>Returns!N30 - RiskFree!$C30</f>
        <v>0.1303888173742582</v>
      </c>
      <c r="O30">
        <f>Returns!O30 - RiskFree!$C30</f>
        <v>5.6973038839179105E-2</v>
      </c>
      <c r="P30">
        <f>Returns!P30 - RiskFree!$C30</f>
        <v>5.2385278013405492E-2</v>
      </c>
      <c r="Q30">
        <f>Returns!Q30 - RiskFree!$C30</f>
        <v>0.3002363194404411</v>
      </c>
      <c r="R30">
        <f>Returns!R30 - RiskFree!$C30</f>
        <v>6.107391472338182E-2</v>
      </c>
      <c r="S30">
        <f>Returns!S30 - RiskFree!$C30</f>
        <v>0.23764355587876793</v>
      </c>
      <c r="T30">
        <f>Returns!T30 - RiskFree!$C30</f>
        <v>-1.2698364162577009E-2</v>
      </c>
      <c r="U30">
        <f>Returns!U30 - RiskFree!$C30</f>
        <v>-4.6905922194379987E-2</v>
      </c>
      <c r="V30">
        <f>Returns!V30 - RiskFree!$C30</f>
        <v>9.8850571847912284E-3</v>
      </c>
    </row>
    <row r="31" spans="1:22" x14ac:dyDescent="0.2">
      <c r="A31" t="s">
        <v>30</v>
      </c>
      <c r="B31">
        <f>Returns!B31 - RiskFree!$C31</f>
        <v>-8.8590052482372686E-2</v>
      </c>
      <c r="C31">
        <f>Returns!C31 - RiskFree!$C31</f>
        <v>-9.7733821047362904E-2</v>
      </c>
      <c r="D31">
        <f>Returns!D31 - RiskFree!$C31</f>
        <v>-0.10049186901156522</v>
      </c>
      <c r="E31">
        <f>Returns!E31 - RiskFree!$C31</f>
        <v>-0.18010015780686947</v>
      </c>
      <c r="F31">
        <f>Returns!F31 - RiskFree!$C31</f>
        <v>-0.32090391111894118</v>
      </c>
      <c r="G31">
        <f>Returns!G31 - RiskFree!$C31</f>
        <v>-9.9077298075193457E-2</v>
      </c>
      <c r="H31">
        <f>Returns!H31 - RiskFree!$C31</f>
        <v>1.7594409890238458E-2</v>
      </c>
      <c r="I31">
        <f>Returns!I31 - RiskFree!$C31</f>
        <v>-5.2786024791447186E-2</v>
      </c>
      <c r="J31">
        <f>Returns!J31 - RiskFree!$C31</f>
        <v>-3.422753769812562E-3</v>
      </c>
      <c r="K31">
        <f>Returns!K31 - RiskFree!$C31</f>
        <v>8.0290060819609918E-2</v>
      </c>
      <c r="L31">
        <f>Returns!L31 - RiskFree!$C31</f>
        <v>-8.6858166186688249E-2</v>
      </c>
      <c r="M31">
        <f>Returns!M31 - RiskFree!$C31</f>
        <v>3.1574367679997259E-2</v>
      </c>
      <c r="N31">
        <f>Returns!N31 - RiskFree!$C31</f>
        <v>-3.8456501991797801E-2</v>
      </c>
      <c r="O31">
        <f>Returns!O31 - RiskFree!$C31</f>
        <v>-4.5432434309035388E-2</v>
      </c>
      <c r="P31">
        <f>Returns!P31 - RiskFree!$C31</f>
        <v>-5.6311207905046803E-2</v>
      </c>
      <c r="Q31">
        <f>Returns!Q31 - RiskFree!$C31</f>
        <v>-2.9712882797111553E-2</v>
      </c>
      <c r="R31">
        <f>Returns!R31 - RiskFree!$C31</f>
        <v>-0.23815772013562539</v>
      </c>
      <c r="S31">
        <f>Returns!S31 - RiskFree!$C31</f>
        <v>-0.1925793244246474</v>
      </c>
      <c r="T31">
        <f>Returns!T31 - RiskFree!$C31</f>
        <v>-7.3906061968678285E-2</v>
      </c>
      <c r="U31">
        <f>Returns!U31 - RiskFree!$C31</f>
        <v>2.944587727719591E-3</v>
      </c>
      <c r="V31">
        <f>Returns!V31 - RiskFree!$C31</f>
        <v>6.9733243424009855E-3</v>
      </c>
    </row>
    <row r="32" spans="1:22" x14ac:dyDescent="0.2">
      <c r="A32" t="s">
        <v>31</v>
      </c>
      <c r="B32">
        <f>Returns!B32 - RiskFree!$C32</f>
        <v>-7.6342278305794426E-4</v>
      </c>
      <c r="C32">
        <f>Returns!C32 - RiskFree!$C32</f>
        <v>-5.532297717730892E-2</v>
      </c>
      <c r="D32">
        <f>Returns!D32 - RiskFree!$C32</f>
        <v>-1.8900890007931583E-2</v>
      </c>
      <c r="E32">
        <f>Returns!E32 - RiskFree!$C32</f>
        <v>-3.8686112919018366E-3</v>
      </c>
      <c r="F32">
        <f>Returns!F32 - RiskFree!$C32</f>
        <v>5.9221761746628618E-3</v>
      </c>
      <c r="G32">
        <f>Returns!G32 - RiskFree!$C32</f>
        <v>-3.4886602317886407E-2</v>
      </c>
      <c r="H32">
        <f>Returns!H32 - RiskFree!$C32</f>
        <v>4.2083820706830704E-4</v>
      </c>
      <c r="I32">
        <f>Returns!I32 - RiskFree!$C32</f>
        <v>8.8901195256700066E-2</v>
      </c>
      <c r="J32">
        <f>Returns!J32 - RiskFree!$C32</f>
        <v>-2.3954318614266869E-2</v>
      </c>
      <c r="K32">
        <f>Returns!K32 - RiskFree!$C32</f>
        <v>3.6843657093226255E-2</v>
      </c>
      <c r="L32">
        <f>Returns!L32 - RiskFree!$C32</f>
        <v>2.5154402661982313E-3</v>
      </c>
      <c r="M32">
        <f>Returns!M32 - RiskFree!$C32</f>
        <v>0.13681718942612256</v>
      </c>
      <c r="N32">
        <f>Returns!N32 - RiskFree!$C32</f>
        <v>0.12317309846804217</v>
      </c>
      <c r="O32">
        <f>Returns!O32 - RiskFree!$C32</f>
        <v>0.18076082107014704</v>
      </c>
      <c r="P32">
        <f>Returns!P32 - RiskFree!$C32</f>
        <v>0.18163621588139758</v>
      </c>
      <c r="Q32">
        <f>Returns!Q32 - RiskFree!$C32</f>
        <v>0.25730504534329612</v>
      </c>
      <c r="R32">
        <f>Returns!R32 - RiskFree!$C32</f>
        <v>-3.3580864217398122E-2</v>
      </c>
      <c r="S32">
        <f>Returns!S32 - RiskFree!$C32</f>
        <v>-0.13001429769890402</v>
      </c>
      <c r="T32">
        <f>Returns!T32 - RiskFree!$C32</f>
        <v>-4.7737155765456875E-2</v>
      </c>
      <c r="U32">
        <f>Returns!U32 - RiskFree!$C32</f>
        <v>7.0056653109314068E-3</v>
      </c>
      <c r="V32">
        <f>Returns!V32 - RiskFree!$C32</f>
        <v>1.1425333186429375E-2</v>
      </c>
    </row>
    <row r="33" spans="1:22" x14ac:dyDescent="0.2">
      <c r="A33" t="s">
        <v>32</v>
      </c>
      <c r="B33">
        <f>Returns!B33 - RiskFree!$C33</f>
        <v>-8.516165989053312E-2</v>
      </c>
      <c r="C33">
        <f>Returns!C33 - RiskFree!$C33</f>
        <v>-8.2669517391363606E-2</v>
      </c>
      <c r="D33">
        <f>Returns!D33 - RiskFree!$C33</f>
        <v>-5.6557394247134324E-2</v>
      </c>
      <c r="E33">
        <f>Returns!E33 - RiskFree!$C33</f>
        <v>-4.3420385866320882E-2</v>
      </c>
      <c r="F33">
        <f>Returns!F33 - RiskFree!$C33</f>
        <v>-0.18921332556509682</v>
      </c>
      <c r="G33">
        <f>Returns!G33 - RiskFree!$C33</f>
        <v>-0.16851082593128139</v>
      </c>
      <c r="H33">
        <f>Returns!H33 - RiskFree!$C33</f>
        <v>-1.2495250430804209E-2</v>
      </c>
      <c r="I33">
        <f>Returns!I33 - RiskFree!$C33</f>
        <v>-1.2741293949201841E-2</v>
      </c>
      <c r="J33">
        <f>Returns!J33 - RiskFree!$C33</f>
        <v>3.6358692804639242E-2</v>
      </c>
      <c r="K33">
        <f>Returns!K33 - RiskFree!$C33</f>
        <v>-2.47899839718199E-3</v>
      </c>
      <c r="L33">
        <f>Returns!L33 - RiskFree!$C33</f>
        <v>3.8057316956450565E-2</v>
      </c>
      <c r="M33">
        <f>Returns!M33 - RiskFree!$C33</f>
        <v>-0.10915763930783715</v>
      </c>
      <c r="N33">
        <f>Returns!N33 - RiskFree!$C33</f>
        <v>-0.17231375646743294</v>
      </c>
      <c r="O33">
        <f>Returns!O33 - RiskFree!$C33</f>
        <v>-0.19573327755875422</v>
      </c>
      <c r="P33">
        <f>Returns!P33 - RiskFree!$C33</f>
        <v>-0.22317315161278758</v>
      </c>
      <c r="Q33">
        <f>Returns!Q33 - RiskFree!$C33</f>
        <v>-0.15012249872035663</v>
      </c>
      <c r="R33">
        <f>Returns!R33 - RiskFree!$C33</f>
        <v>-0.11770452333416523</v>
      </c>
      <c r="S33">
        <f>Returns!S33 - RiskFree!$C33</f>
        <v>-0.11312955721593795</v>
      </c>
      <c r="T33">
        <f>Returns!T33 - RiskFree!$C33</f>
        <v>-0.13920049708396262</v>
      </c>
      <c r="U33">
        <f>Returns!U33 - RiskFree!$C33</f>
        <v>-8.9594864042660899E-2</v>
      </c>
      <c r="V33">
        <f>Returns!V33 - RiskFree!$C33</f>
        <v>-1.6951702222867206E-2</v>
      </c>
    </row>
    <row r="34" spans="1:22" x14ac:dyDescent="0.2">
      <c r="A34" t="s">
        <v>33</v>
      </c>
      <c r="B34">
        <f>Returns!B34 - RiskFree!$C34</f>
        <v>8.9258014298872548E-2</v>
      </c>
      <c r="C34">
        <f>Returns!C34 - RiskFree!$C34</f>
        <v>0.18678184241515636</v>
      </c>
      <c r="D34">
        <f>Returns!D34 - RiskFree!$C34</f>
        <v>9.1237435040831552E-2</v>
      </c>
      <c r="E34">
        <f>Returns!E34 - RiskFree!$C34</f>
        <v>6.5655712904117272E-2</v>
      </c>
      <c r="F34">
        <f>Returns!F34 - RiskFree!$C34</f>
        <v>0.19629618756206099</v>
      </c>
      <c r="G34">
        <f>Returns!G34 - RiskFree!$C34</f>
        <v>-1.5191666666666753E-2</v>
      </c>
      <c r="H34">
        <f>Returns!H34 - RiskFree!$C34</f>
        <v>-1.8702517494891307E-2</v>
      </c>
      <c r="I34">
        <f>Returns!I34 - RiskFree!$C34</f>
        <v>-3.1002916364571569E-2</v>
      </c>
      <c r="J34">
        <f>Returns!J34 - RiskFree!$C34</f>
        <v>5.40426684152326E-2</v>
      </c>
      <c r="K34">
        <f>Returns!K34 - RiskFree!$C34</f>
        <v>-2.193052599441218E-2</v>
      </c>
      <c r="L34">
        <f>Returns!L34 - RiskFree!$C34</f>
        <v>-5.6107965522291733E-2</v>
      </c>
      <c r="M34">
        <f>Returns!M34 - RiskFree!$C34</f>
        <v>0.1299729545654433</v>
      </c>
      <c r="N34">
        <f>Returns!N34 - RiskFree!$C34</f>
        <v>0.1293725709686859</v>
      </c>
      <c r="O34">
        <f>Returns!O34 - RiskFree!$C34</f>
        <v>8.2988827045828953E-2</v>
      </c>
      <c r="P34">
        <f>Returns!P34 - RiskFree!$C34</f>
        <v>3.3657418871073166E-2</v>
      </c>
      <c r="Q34">
        <f>Returns!Q34 - RiskFree!$C34</f>
        <v>0.11481992919702062</v>
      </c>
      <c r="R34">
        <f>Returns!R34 - RiskFree!$C34</f>
        <v>0.26873765574490788</v>
      </c>
      <c r="S34">
        <f>Returns!S34 - RiskFree!$C34</f>
        <v>0.32190889034167419</v>
      </c>
      <c r="T34">
        <f>Returns!T34 - RiskFree!$C34</f>
        <v>0.12260645331955318</v>
      </c>
      <c r="U34">
        <f>Returns!U34 - RiskFree!$C34</f>
        <v>9.5382605478494267E-2</v>
      </c>
      <c r="V34">
        <f>Returns!V34 - RiskFree!$C34</f>
        <v>6.4933660474031554E-2</v>
      </c>
    </row>
    <row r="35" spans="1:22" x14ac:dyDescent="0.2">
      <c r="A35" t="s">
        <v>34</v>
      </c>
      <c r="B35">
        <f>Returns!B35 - RiskFree!$C35</f>
        <v>-4.4631785883477125E-2</v>
      </c>
      <c r="C35">
        <f>Returns!C35 - RiskFree!$C35</f>
        <v>-3.3405178577003501E-2</v>
      </c>
      <c r="D35">
        <f>Returns!D35 - RiskFree!$C35</f>
        <v>-6.8850328909069794E-2</v>
      </c>
      <c r="E35">
        <f>Returns!E35 - RiskFree!$C35</f>
        <v>-7.1829285303422544E-2</v>
      </c>
      <c r="F35">
        <f>Returns!F35 - RiskFree!$C35</f>
        <v>-0.17115807735703101</v>
      </c>
      <c r="G35">
        <f>Returns!G35 - RiskFree!$C35</f>
        <v>2.1881243452755252E-2</v>
      </c>
      <c r="H35">
        <f>Returns!H35 - RiskFree!$C35</f>
        <v>-7.1500724219078007E-2</v>
      </c>
      <c r="I35">
        <f>Returns!I35 - RiskFree!$C35</f>
        <v>-0.10672673799140604</v>
      </c>
      <c r="J35">
        <f>Returns!J35 - RiskFree!$C35</f>
        <v>-4.4620716211074739E-2</v>
      </c>
      <c r="K35">
        <f>Returns!K35 - RiskFree!$C35</f>
        <v>-4.6738759033003695E-2</v>
      </c>
      <c r="L35">
        <f>Returns!L35 - RiskFree!$C35</f>
        <v>-6.5247754063896116E-2</v>
      </c>
      <c r="M35">
        <f>Returns!M35 - RiskFree!$C35</f>
        <v>-6.4350461650846871E-3</v>
      </c>
      <c r="N35">
        <f>Returns!N35 - RiskFree!$C35</f>
        <v>-2.8343573731779391E-2</v>
      </c>
      <c r="O35">
        <f>Returns!O35 - RiskFree!$C35</f>
        <v>0.12622765865921318</v>
      </c>
      <c r="P35">
        <f>Returns!P35 - RiskFree!$C35</f>
        <v>2.8052546507397004E-2</v>
      </c>
      <c r="Q35">
        <f>Returns!Q35 - RiskFree!$C35</f>
        <v>7.7655562724419466E-2</v>
      </c>
      <c r="R35">
        <f>Returns!R35 - RiskFree!$C35</f>
        <v>-6.2806709275040132E-2</v>
      </c>
      <c r="S35">
        <f>Returns!S35 - RiskFree!$C35</f>
        <v>-7.4680308766616091E-2</v>
      </c>
      <c r="T35">
        <f>Returns!T35 - RiskFree!$C35</f>
        <v>-7.5896148459383819E-2</v>
      </c>
      <c r="U35">
        <f>Returns!U35 - RiskFree!$C35</f>
        <v>-3.7539305054101045E-2</v>
      </c>
      <c r="V35">
        <f>Returns!V35 - RiskFree!$C35</f>
        <v>-3.9055938422614643E-2</v>
      </c>
    </row>
    <row r="36" spans="1:22" x14ac:dyDescent="0.2">
      <c r="A36" t="s">
        <v>35</v>
      </c>
      <c r="B36">
        <f>Returns!B36 - RiskFree!$C36</f>
        <v>-9.6004034976822653E-2</v>
      </c>
      <c r="C36">
        <f>Returns!C36 - RiskFree!$C36</f>
        <v>-0.12358979715039499</v>
      </c>
      <c r="D36">
        <f>Returns!D36 - RiskFree!$C36</f>
        <v>-0.1118794821792637</v>
      </c>
      <c r="E36">
        <f>Returns!E36 - RiskFree!$C36</f>
        <v>-0.11875983246621959</v>
      </c>
      <c r="F36">
        <f>Returns!F36 - RiskFree!$C36</f>
        <v>-0.19814787972563297</v>
      </c>
      <c r="G36">
        <f>Returns!G36 - RiskFree!$C36</f>
        <v>-0.16985807248511631</v>
      </c>
      <c r="H36">
        <f>Returns!H36 - RiskFree!$C36</f>
        <v>9.9115506378466452E-3</v>
      </c>
      <c r="I36">
        <f>Returns!I36 - RiskFree!$C36</f>
        <v>-3.5108734710502916E-2</v>
      </c>
      <c r="J36">
        <f>Returns!J36 - RiskFree!$C36</f>
        <v>-2.7074067163927806E-2</v>
      </c>
      <c r="K36">
        <f>Returns!K36 - RiskFree!$C36</f>
        <v>1.4426100854546309E-2</v>
      </c>
      <c r="L36">
        <f>Returns!L36 - RiskFree!$C36</f>
        <v>-4.471510049634541E-3</v>
      </c>
      <c r="M36">
        <f>Returns!M36 - RiskFree!$C36</f>
        <v>-8.9228543274425767E-2</v>
      </c>
      <c r="N36">
        <f>Returns!N36 - RiskFree!$C36</f>
        <v>-9.3652471888740832E-2</v>
      </c>
      <c r="O36">
        <f>Returns!O36 - RiskFree!$C36</f>
        <v>-5.4685952323393801E-2</v>
      </c>
      <c r="P36">
        <f>Returns!P36 - RiskFree!$C36</f>
        <v>-5.7241273222830798E-2</v>
      </c>
      <c r="Q36">
        <f>Returns!Q36 - RiskFree!$C36</f>
        <v>-0.13536986771551485</v>
      </c>
      <c r="R36">
        <f>Returns!R36 - RiskFree!$C36</f>
        <v>-0.11123024703531327</v>
      </c>
      <c r="S36">
        <f>Returns!S36 - RiskFree!$C36</f>
        <v>-4.0197680599397774E-2</v>
      </c>
      <c r="T36">
        <f>Returns!T36 - RiskFree!$C36</f>
        <v>-0.21952668525168517</v>
      </c>
      <c r="U36">
        <f>Returns!U36 - RiskFree!$C36</f>
        <v>-4.5878670915217253E-2</v>
      </c>
      <c r="V36">
        <f>Returns!V36 - RiskFree!$C36</f>
        <v>-8.7988235831469766E-2</v>
      </c>
    </row>
    <row r="37" spans="1:22" x14ac:dyDescent="0.2">
      <c r="A37" t="s">
        <v>36</v>
      </c>
      <c r="B37">
        <f>Returns!B37 - RiskFree!$C37</f>
        <v>7.676345457689325E-2</v>
      </c>
      <c r="C37">
        <f>Returns!C37 - RiskFree!$C37</f>
        <v>0.10645017047329262</v>
      </c>
      <c r="D37">
        <f>Returns!D37 - RiskFree!$C37</f>
        <v>-6.4085918353056302E-3</v>
      </c>
      <c r="E37">
        <f>Returns!E37 - RiskFree!$C37</f>
        <v>-1.5017590460051808E-2</v>
      </c>
      <c r="F37">
        <f>Returns!F37 - RiskFree!$C37</f>
        <v>0.10877433000742141</v>
      </c>
      <c r="G37">
        <f>Returns!G37 - RiskFree!$C37</f>
        <v>-0.31648443396226422</v>
      </c>
      <c r="H37">
        <f>Returns!H37 - RiskFree!$C37</f>
        <v>6.1848987135886373E-2</v>
      </c>
      <c r="I37">
        <f>Returns!I37 - RiskFree!$C37</f>
        <v>6.0657113125488375E-2</v>
      </c>
      <c r="J37">
        <f>Returns!J37 - RiskFree!$C37</f>
        <v>9.6119662516464074E-2</v>
      </c>
      <c r="K37">
        <f>Returns!K37 - RiskFree!$C37</f>
        <v>0.17200973520364593</v>
      </c>
      <c r="L37">
        <f>Returns!L37 - RiskFree!$C37</f>
        <v>9.8828374655647408E-2</v>
      </c>
      <c r="M37">
        <f>Returns!M37 - RiskFree!$C37</f>
        <v>0.26605567809339725</v>
      </c>
      <c r="N37">
        <f>Returns!N37 - RiskFree!$C37</f>
        <v>0.25603430176688857</v>
      </c>
      <c r="O37">
        <f>Returns!O37 - RiskFree!$C37</f>
        <v>0.22897454634624814</v>
      </c>
      <c r="P37">
        <f>Returns!P37 - RiskFree!$C37</f>
        <v>0.4462050140171111</v>
      </c>
      <c r="Q37">
        <f>Returns!Q37 - RiskFree!$C37</f>
        <v>0.17834920635438312</v>
      </c>
      <c r="R37">
        <f>Returns!R37 - RiskFree!$C37</f>
        <v>-9.6551327433628389E-2</v>
      </c>
      <c r="S37">
        <f>Returns!S37 - RiskFree!$C37</f>
        <v>-0.145267766258247</v>
      </c>
      <c r="T37">
        <f>Returns!T37 - RiskFree!$C37</f>
        <v>0.11191381150463929</v>
      </c>
      <c r="U37">
        <f>Returns!U37 - RiskFree!$C37</f>
        <v>7.0065840871223237E-2</v>
      </c>
      <c r="V37">
        <f>Returns!V37 - RiskFree!$C37</f>
        <v>0.1785751507966945</v>
      </c>
    </row>
    <row r="38" spans="1:22" x14ac:dyDescent="0.2">
      <c r="A38" t="s">
        <v>37</v>
      </c>
      <c r="B38">
        <f>Returns!B38 - RiskFree!$C38</f>
        <v>5.0294526960366522E-2</v>
      </c>
      <c r="C38">
        <f>Returns!C38 - RiskFree!$C38</f>
        <v>-3.6486365528725966E-2</v>
      </c>
      <c r="D38">
        <f>Returns!D38 - RiskFree!$C38</f>
        <v>9.8772280524574776E-2</v>
      </c>
      <c r="E38">
        <f>Returns!E38 - RiskFree!$C38</f>
        <v>6.5102664110615618E-2</v>
      </c>
      <c r="F38">
        <f>Returns!F38 - RiskFree!$C38</f>
        <v>0.25069297528373746</v>
      </c>
      <c r="G38">
        <f>Returns!G38 - RiskFree!$C38</f>
        <v>0.26425313081436963</v>
      </c>
      <c r="H38">
        <f>Returns!H38 - RiskFree!$C38</f>
        <v>2.6312455887627546E-2</v>
      </c>
      <c r="I38">
        <f>Returns!I38 - RiskFree!$C38</f>
        <v>8.267863302307045E-2</v>
      </c>
      <c r="J38">
        <f>Returns!J38 - RiskFree!$C38</f>
        <v>-1.676898298346962E-2</v>
      </c>
      <c r="K38">
        <f>Returns!K38 - RiskFree!$C38</f>
        <v>8.4668272506619471E-2</v>
      </c>
      <c r="L38">
        <f>Returns!L38 - RiskFree!$C38</f>
        <v>9.7497950819672066E-2</v>
      </c>
      <c r="M38">
        <f>Returns!M38 - RiskFree!$C38</f>
        <v>9.4140796755364312E-3</v>
      </c>
      <c r="N38">
        <f>Returns!N38 - RiskFree!$C38</f>
        <v>1.7704715170658199E-2</v>
      </c>
      <c r="O38">
        <f>Returns!O38 - RiskFree!$C38</f>
        <v>-2.0176747472334992E-2</v>
      </c>
      <c r="P38">
        <f>Returns!P38 - RiskFree!$C38</f>
        <v>-1.2684450341479463E-2</v>
      </c>
      <c r="Q38">
        <f>Returns!Q38 - RiskFree!$C38</f>
        <v>-4.6296409353423711E-2</v>
      </c>
      <c r="R38">
        <f>Returns!R38 - RiskFree!$C38</f>
        <v>-6.1053022907718295E-2</v>
      </c>
      <c r="S38">
        <f>Returns!S38 - RiskFree!$C38</f>
        <v>-0.14778460563710416</v>
      </c>
      <c r="T38">
        <f>Returns!T38 - RiskFree!$C38</f>
        <v>0.18007262674736246</v>
      </c>
      <c r="U38">
        <f>Returns!U38 - RiskFree!$C38</f>
        <v>9.7241855897817434E-2</v>
      </c>
      <c r="V38">
        <f>Returns!V38 - RiskFree!$C38</f>
        <v>2.6530584928186125E-3</v>
      </c>
    </row>
    <row r="39" spans="1:22" x14ac:dyDescent="0.2">
      <c r="A39" t="s">
        <v>38</v>
      </c>
      <c r="B39">
        <f>Returns!B39 - RiskFree!$C39</f>
        <v>-6.2513115965827759E-2</v>
      </c>
      <c r="C39">
        <f>Returns!C39 - RiskFree!$C39</f>
        <v>-0.12580808184352954</v>
      </c>
      <c r="D39">
        <f>Returns!D39 - RiskFree!$C39</f>
        <v>-6.3588196452900481E-2</v>
      </c>
      <c r="E39">
        <f>Returns!E39 - RiskFree!$C39</f>
        <v>-0.12988899585921332</v>
      </c>
      <c r="F39">
        <f>Returns!F39 - RiskFree!$C39</f>
        <v>-0.13997680202555385</v>
      </c>
      <c r="G39">
        <f>Returns!G39 - RiskFree!$C39</f>
        <v>1.5425310471352092E-2</v>
      </c>
      <c r="H39">
        <f>Returns!H39 - RiskFree!$C39</f>
        <v>-1.1125936329588028E-2</v>
      </c>
      <c r="I39">
        <f>Returns!I39 - RiskFree!$C39</f>
        <v>1.8600763016157873E-2</v>
      </c>
      <c r="J39">
        <f>Returns!J39 - RiskFree!$C39</f>
        <v>-3.2654940539952104E-2</v>
      </c>
      <c r="K39">
        <f>Returns!K39 - RiskFree!$C39</f>
        <v>1.0677989860570778E-2</v>
      </c>
      <c r="L39">
        <f>Returns!L39 - RiskFree!$C39</f>
        <v>-8.7384187450878677E-4</v>
      </c>
      <c r="M39">
        <f>Returns!M39 - RiskFree!$C39</f>
        <v>-1.2882424705107589E-2</v>
      </c>
      <c r="N39">
        <f>Returns!N39 - RiskFree!$C39</f>
        <v>-2.4380682541414345E-2</v>
      </c>
      <c r="O39">
        <f>Returns!O39 - RiskFree!$C39</f>
        <v>-4.8153438992794118E-2</v>
      </c>
      <c r="P39">
        <f>Returns!P39 - RiskFree!$C39</f>
        <v>3.7054427886262453E-2</v>
      </c>
      <c r="Q39">
        <f>Returns!Q39 - RiskFree!$C39</f>
        <v>-9.5226814947371952E-2</v>
      </c>
      <c r="R39">
        <f>Returns!R39 - RiskFree!$C39</f>
        <v>-0.13343601097990476</v>
      </c>
      <c r="S39">
        <f>Returns!S39 - RiskFree!$C39</f>
        <v>-0.37087602722136614</v>
      </c>
      <c r="T39">
        <f>Returns!T39 - RiskFree!$C39</f>
        <v>6.6469489761081912E-2</v>
      </c>
      <c r="U39">
        <f>Returns!U39 - RiskFree!$C39</f>
        <v>-2.8635033745897487E-2</v>
      </c>
      <c r="V39">
        <f>Returns!V39 - RiskFree!$C39</f>
        <v>-3.748719252905186E-2</v>
      </c>
    </row>
    <row r="40" spans="1:22" x14ac:dyDescent="0.2">
      <c r="A40" t="s">
        <v>39</v>
      </c>
      <c r="B40">
        <f>Returns!B40 - RiskFree!$C40</f>
        <v>5.7969499066718694E-2</v>
      </c>
      <c r="C40">
        <f>Returns!C40 - RiskFree!$C40</f>
        <v>0.1067377781843756</v>
      </c>
      <c r="D40">
        <f>Returns!D40 - RiskFree!$C40</f>
        <v>2.9533188457392529E-2</v>
      </c>
      <c r="E40">
        <f>Returns!E40 - RiskFree!$C40</f>
        <v>0.11647083194462296</v>
      </c>
      <c r="F40">
        <f>Returns!F40 - RiskFree!$C40</f>
        <v>0.33309027144363623</v>
      </c>
      <c r="G40">
        <f>Returns!G40 - RiskFree!$C40</f>
        <v>0.23412592377153621</v>
      </c>
      <c r="H40">
        <f>Returns!H40 - RiskFree!$C40</f>
        <v>-7.8677191244457129E-2</v>
      </c>
      <c r="I40">
        <f>Returns!I40 - RiskFree!$C40</f>
        <v>-0.14195663544106182</v>
      </c>
      <c r="J40">
        <f>Returns!J40 - RiskFree!$C40</f>
        <v>-6.2237585928393763E-2</v>
      </c>
      <c r="K40">
        <f>Returns!K40 - RiskFree!$C40</f>
        <v>-3.5688303731764764E-2</v>
      </c>
      <c r="L40">
        <f>Returns!L40 - RiskFree!$C40</f>
        <v>-8.9545353010333589E-2</v>
      </c>
      <c r="M40">
        <f>Returns!M40 - RiskFree!$C40</f>
        <v>4.7984572378362206E-2</v>
      </c>
      <c r="N40">
        <f>Returns!N40 - RiskFree!$C40</f>
        <v>-3.4258568722491528E-2</v>
      </c>
      <c r="O40">
        <f>Returns!O40 - RiskFree!$C40</f>
        <v>2.9013276836158314E-2</v>
      </c>
      <c r="P40">
        <f>Returns!P40 - RiskFree!$C40</f>
        <v>6.2060288065843544E-2</v>
      </c>
      <c r="Q40">
        <f>Returns!Q40 - RiskFree!$C40</f>
        <v>2.4792631105466617E-2</v>
      </c>
      <c r="R40">
        <f>Returns!R40 - RiskFree!$C40</f>
        <v>0.22395476190476185</v>
      </c>
      <c r="S40">
        <f>Returns!S40 - RiskFree!$C40</f>
        <v>0.40245144503977903</v>
      </c>
      <c r="T40">
        <f>Returns!T40 - RiskFree!$C40</f>
        <v>8.4414256616243494E-2</v>
      </c>
      <c r="U40">
        <f>Returns!U40 - RiskFree!$C40</f>
        <v>2.2525790962240638E-2</v>
      </c>
      <c r="V40">
        <f>Returns!V40 - RiskFree!$C40</f>
        <v>1.0901901744267001E-2</v>
      </c>
    </row>
    <row r="41" spans="1:22" x14ac:dyDescent="0.2">
      <c r="A41" t="s">
        <v>40</v>
      </c>
      <c r="B41">
        <f>Returns!B41 - RiskFree!$C41</f>
        <v>-2.9987446646715304E-2</v>
      </c>
      <c r="C41">
        <f>Returns!C41 - RiskFree!$C41</f>
        <v>1.9303529362274825E-2</v>
      </c>
      <c r="D41">
        <f>Returns!D41 - RiskFree!$C41</f>
        <v>5.1443183216438211E-3</v>
      </c>
      <c r="E41">
        <f>Returns!E41 - RiskFree!$C41</f>
        <v>-9.270454418529088E-2</v>
      </c>
      <c r="F41">
        <f>Returns!F41 - RiskFree!$C41</f>
        <v>0.18443206503644446</v>
      </c>
      <c r="G41">
        <f>Returns!G41 - RiskFree!$C41</f>
        <v>0.17045540209438145</v>
      </c>
      <c r="H41">
        <f>Returns!H41 - RiskFree!$C41</f>
        <v>-6.6046092889487193E-2</v>
      </c>
      <c r="I41">
        <f>Returns!I41 - RiskFree!$C41</f>
        <v>-8.5170289855072398E-2</v>
      </c>
      <c r="J41">
        <f>Returns!J41 - RiskFree!$C41</f>
        <v>-5.0448951840649722E-2</v>
      </c>
      <c r="K41">
        <f>Returns!K41 - RiskFree!$C41</f>
        <v>-1.4758885556975725E-2</v>
      </c>
      <c r="L41">
        <f>Returns!L41 - RiskFree!$C41</f>
        <v>3.7749365482233468E-2</v>
      </c>
      <c r="M41">
        <f>Returns!M41 - RiskFree!$C41</f>
        <v>-5.6456673993621351E-2</v>
      </c>
      <c r="N41">
        <f>Returns!N41 - RiskFree!$C41</f>
        <v>-8.0015673485806224E-2</v>
      </c>
      <c r="O41">
        <f>Returns!O41 - RiskFree!$C41</f>
        <v>-0.15584020882908026</v>
      </c>
      <c r="P41">
        <f>Returns!P41 - RiskFree!$C41</f>
        <v>-7.0038566163566116E-2</v>
      </c>
      <c r="Q41">
        <f>Returns!Q41 - RiskFree!$C41</f>
        <v>-0.10003181432319812</v>
      </c>
      <c r="R41">
        <f>Returns!R41 - RiskFree!$C41</f>
        <v>-9.0173846116551812E-2</v>
      </c>
      <c r="S41">
        <f>Returns!S41 - RiskFree!$C41</f>
        <v>0.1836899463110496</v>
      </c>
      <c r="T41">
        <f>Returns!T41 - RiskFree!$C41</f>
        <v>-7.0944818581638189E-2</v>
      </c>
      <c r="U41">
        <f>Returns!U41 - RiskFree!$C41</f>
        <v>-8.9108056729493776E-2</v>
      </c>
      <c r="V41">
        <f>Returns!V41 - RiskFree!$C41</f>
        <v>-1.6926608077785937E-2</v>
      </c>
    </row>
    <row r="42" spans="1:22" x14ac:dyDescent="0.2">
      <c r="A42" t="s">
        <v>41</v>
      </c>
      <c r="B42">
        <f>Returns!B42 - RiskFree!$C42</f>
        <v>3.114323902539369E-2</v>
      </c>
      <c r="C42">
        <f>Returns!C42 - RiskFree!$C42</f>
        <v>0.1147516455618139</v>
      </c>
      <c r="D42">
        <f>Returns!D42 - RiskFree!$C42</f>
        <v>0.15196401280034483</v>
      </c>
      <c r="E42">
        <f>Returns!E42 - RiskFree!$C42</f>
        <v>0.14788561951439122</v>
      </c>
      <c r="F42">
        <f>Returns!F42 - RiskFree!$C42</f>
        <v>0.19274931003367929</v>
      </c>
      <c r="G42">
        <f>Returns!G42 - RiskFree!$C42</f>
        <v>0.20759275275332484</v>
      </c>
      <c r="H42">
        <f>Returns!H42 - RiskFree!$C42</f>
        <v>7.4449225716646935E-3</v>
      </c>
      <c r="I42">
        <f>Returns!I42 - RiskFree!$C42</f>
        <v>1.7608803713745199E-3</v>
      </c>
      <c r="J42">
        <f>Returns!J42 - RiskFree!$C42</f>
        <v>-7.4092874419155333E-3</v>
      </c>
      <c r="K42">
        <f>Returns!K42 - RiskFree!$C42</f>
        <v>4.451258328943177E-3</v>
      </c>
      <c r="L42">
        <f>Returns!L42 - RiskFree!$C42</f>
        <v>3.1634226770630283E-2</v>
      </c>
      <c r="M42">
        <f>Returns!M42 - RiskFree!$C42</f>
        <v>-6.1829216328510997E-3</v>
      </c>
      <c r="N42">
        <f>Returns!N42 - RiskFree!$C42</f>
        <v>1.0957624245816991E-2</v>
      </c>
      <c r="O42">
        <f>Returns!O42 - RiskFree!$C42</f>
        <v>-4.3966388485728133E-2</v>
      </c>
      <c r="P42">
        <f>Returns!P42 - RiskFree!$C42</f>
        <v>-8.1149453423541892E-2</v>
      </c>
      <c r="Q42">
        <f>Returns!Q42 - RiskFree!$C42</f>
        <v>6.217773224043717E-2</v>
      </c>
      <c r="R42">
        <f>Returns!R42 - RiskFree!$C42</f>
        <v>9.2239390321553774E-2</v>
      </c>
      <c r="S42">
        <f>Returns!S42 - RiskFree!$C42</f>
        <v>4.598788342812756E-3</v>
      </c>
      <c r="T42">
        <f>Returns!T42 - RiskFree!$C42</f>
        <v>2.8501802199960638E-2</v>
      </c>
      <c r="U42">
        <f>Returns!U42 - RiskFree!$C42</f>
        <v>-8.6968947415751313E-3</v>
      </c>
      <c r="V42">
        <f>Returns!V42 - RiskFree!$C42</f>
        <v>5.558164431056041E-2</v>
      </c>
    </row>
    <row r="43" spans="1:22" x14ac:dyDescent="0.2">
      <c r="A43" t="s">
        <v>42</v>
      </c>
      <c r="B43">
        <f>Returns!B43 - RiskFree!$C43</f>
        <v>1.054236088297044E-2</v>
      </c>
      <c r="C43">
        <f>Returns!C43 - RiskFree!$C43</f>
        <v>2.4873078925607299E-2</v>
      </c>
      <c r="D43">
        <f>Returns!D43 - RiskFree!$C43</f>
        <v>6.1662866838986467E-2</v>
      </c>
      <c r="E43">
        <f>Returns!E43 - RiskFree!$C43</f>
        <v>3.0692368125701412E-2</v>
      </c>
      <c r="F43">
        <f>Returns!F43 - RiskFree!$C43</f>
        <v>-5.1085910343462515E-3</v>
      </c>
      <c r="G43">
        <f>Returns!G43 - RiskFree!$C43</f>
        <v>0.12980582240256666</v>
      </c>
      <c r="H43">
        <f>Returns!H43 - RiskFree!$C43</f>
        <v>5.2029032258064538E-2</v>
      </c>
      <c r="I43">
        <f>Returns!I43 - RiskFree!$C43</f>
        <v>-5.0913725490196023E-2</v>
      </c>
      <c r="J43">
        <f>Returns!J43 - RiskFree!$C43</f>
        <v>3.7166442269852322E-2</v>
      </c>
      <c r="K43">
        <f>Returns!K43 - RiskFree!$C43</f>
        <v>8.1257438586806327E-2</v>
      </c>
      <c r="L43">
        <f>Returns!L43 - RiskFree!$C43</f>
        <v>-5.5866329924076037E-2</v>
      </c>
      <c r="M43">
        <f>Returns!M43 - RiskFree!$C43</f>
        <v>7.5053747948203617E-2</v>
      </c>
      <c r="N43">
        <f>Returns!N43 - RiskFree!$C43</f>
        <v>2.9118926207403854E-2</v>
      </c>
      <c r="O43">
        <f>Returns!O43 - RiskFree!$C43</f>
        <v>3.2993034976313E-2</v>
      </c>
      <c r="P43">
        <f>Returns!P43 - RiskFree!$C43</f>
        <v>9.9164969450104331E-4</v>
      </c>
      <c r="Q43">
        <f>Returns!Q43 - RiskFree!$C43</f>
        <v>-1.8516146083613634E-2</v>
      </c>
      <c r="R43">
        <f>Returns!R43 - RiskFree!$C43</f>
        <v>1.681199535288979E-2</v>
      </c>
      <c r="S43">
        <f>Returns!S43 - RiskFree!$C43</f>
        <v>-0.21209190205340789</v>
      </c>
      <c r="T43">
        <f>Returns!T43 - RiskFree!$C43</f>
        <v>2.9168101761252389E-2</v>
      </c>
      <c r="U43">
        <f>Returns!U43 - RiskFree!$C43</f>
        <v>1.4265410680401207E-2</v>
      </c>
      <c r="V43">
        <f>Returns!V43 - RiskFree!$C43</f>
        <v>5.3623257394227679E-2</v>
      </c>
    </row>
    <row r="44" spans="1:22" x14ac:dyDescent="0.2">
      <c r="A44" t="s">
        <v>43</v>
      </c>
      <c r="B44">
        <f>Returns!B44 - RiskFree!$C44</f>
        <v>-1.8010093984540945E-3</v>
      </c>
      <c r="C44">
        <f>Returns!C44 - RiskFree!$C44</f>
        <v>4.178030330088997E-2</v>
      </c>
      <c r="D44">
        <f>Returns!D44 - RiskFree!$C44</f>
        <v>6.68225715354199E-2</v>
      </c>
      <c r="E44">
        <f>Returns!E44 - RiskFree!$C44</f>
        <v>0.14039839304859511</v>
      </c>
      <c r="F44">
        <f>Returns!F44 - RiskFree!$C44</f>
        <v>0.35915799213947042</v>
      </c>
      <c r="G44">
        <f>Returns!G44 - RiskFree!$C44</f>
        <v>9.7247958277851904E-2</v>
      </c>
      <c r="H44">
        <f>Returns!H44 - RiskFree!$C44</f>
        <v>-5.7062807982080993E-2</v>
      </c>
      <c r="I44">
        <f>Returns!I44 - RiskFree!$C44</f>
        <v>-2.6654122739350222E-2</v>
      </c>
      <c r="J44">
        <f>Returns!J44 - RiskFree!$C44</f>
        <v>-1.4141468247684391E-2</v>
      </c>
      <c r="K44">
        <f>Returns!K44 - RiskFree!$C44</f>
        <v>-4.8115018210221266E-2</v>
      </c>
      <c r="L44">
        <f>Returns!L44 - RiskFree!$C44</f>
        <v>-9.1366446091406345E-2</v>
      </c>
      <c r="M44">
        <f>Returns!M44 - RiskFree!$C44</f>
        <v>-0.14083902033688236</v>
      </c>
      <c r="N44">
        <f>Returns!N44 - RiskFree!$C44</f>
        <v>-0.11082028908134614</v>
      </c>
      <c r="O44">
        <f>Returns!O44 - RiskFree!$C44</f>
        <v>-3.9174965173162352E-2</v>
      </c>
      <c r="P44">
        <f>Returns!P44 - RiskFree!$C44</f>
        <v>-0.13640086119554209</v>
      </c>
      <c r="Q44">
        <f>Returns!Q44 - RiskFree!$C44</f>
        <v>-6.7179481553713699E-2</v>
      </c>
      <c r="R44">
        <f>Returns!R44 - RiskFree!$C44</f>
        <v>0.13919698909435749</v>
      </c>
      <c r="S44">
        <f>Returns!S44 - RiskFree!$C44</f>
        <v>0.23684623881687047</v>
      </c>
      <c r="T44">
        <f>Returns!T44 - RiskFree!$C44</f>
        <v>-0.17363308080808074</v>
      </c>
      <c r="U44">
        <f>Returns!U44 - RiskFree!$C44</f>
        <v>-6.1147644240367477E-2</v>
      </c>
      <c r="V44">
        <f>Returns!V44 - RiskFree!$C44</f>
        <v>-4.0259664694280023E-2</v>
      </c>
    </row>
    <row r="45" spans="1:22" x14ac:dyDescent="0.2">
      <c r="A45" t="s">
        <v>44</v>
      </c>
      <c r="B45">
        <f>Returns!B45 - RiskFree!$C45</f>
        <v>6.0427512841431302E-2</v>
      </c>
      <c r="C45">
        <f>Returns!C45 - RiskFree!$C45</f>
        <v>9.0024590406491994E-2</v>
      </c>
      <c r="D45">
        <f>Returns!D45 - RiskFree!$C45</f>
        <v>3.2705089278012495E-2</v>
      </c>
      <c r="E45">
        <f>Returns!E45 - RiskFree!$C45</f>
        <v>-3.0095174227696725E-2</v>
      </c>
      <c r="F45">
        <f>Returns!F45 - RiskFree!$C45</f>
        <v>0.1139080236955545</v>
      </c>
      <c r="G45">
        <f>Returns!G45 - RiskFree!$C45</f>
        <v>7.9788848594741529E-2</v>
      </c>
      <c r="H45">
        <f>Returns!H45 - RiskFree!$C45</f>
        <v>6.3157758287114757E-2</v>
      </c>
      <c r="I45">
        <f>Returns!I45 - RiskFree!$C45</f>
        <v>-3.9544608100999606E-2</v>
      </c>
      <c r="J45">
        <f>Returns!J45 - RiskFree!$C45</f>
        <v>-1.3797814265913229E-2</v>
      </c>
      <c r="K45">
        <f>Returns!K45 - RiskFree!$C45</f>
        <v>4.7800648764687342E-2</v>
      </c>
      <c r="L45">
        <f>Returns!L45 - RiskFree!$C45</f>
        <v>-2.7712583357495074E-2</v>
      </c>
      <c r="M45">
        <f>Returns!M45 - RiskFree!$C45</f>
        <v>4.5318320610687052E-2</v>
      </c>
      <c r="N45">
        <f>Returns!N45 - RiskFree!$C45</f>
        <v>4.0381981144602203E-2</v>
      </c>
      <c r="O45">
        <f>Returns!O45 - RiskFree!$C45</f>
        <v>3.9103826787512536E-2</v>
      </c>
      <c r="P45">
        <f>Returns!P45 - RiskFree!$C45</f>
        <v>0.14255967779593745</v>
      </c>
      <c r="Q45">
        <f>Returns!Q45 - RiskFree!$C45</f>
        <v>1.5471071800208206E-2</v>
      </c>
      <c r="R45">
        <f>Returns!R45 - RiskFree!$C45</f>
        <v>7.6807978105821934E-2</v>
      </c>
      <c r="S45">
        <f>Returns!S45 - RiskFree!$C45</f>
        <v>0.27932673466385499</v>
      </c>
      <c r="T45">
        <f>Returns!T45 - RiskFree!$C45</f>
        <v>4.4246456393691708E-2</v>
      </c>
      <c r="U45">
        <f>Returns!U45 - RiskFree!$C45</f>
        <v>9.1625207267595793E-2</v>
      </c>
      <c r="V45">
        <f>Returns!V45 - RiskFree!$C45</f>
        <v>4.2348661919960867E-2</v>
      </c>
    </row>
    <row r="46" spans="1:22" x14ac:dyDescent="0.2">
      <c r="A46" t="s">
        <v>45</v>
      </c>
      <c r="B46">
        <f>Returns!B46 - RiskFree!$C46</f>
        <v>2.6763913980379268E-2</v>
      </c>
      <c r="C46">
        <f>Returns!C46 - RiskFree!$C46</f>
        <v>8.4124444872022593E-3</v>
      </c>
      <c r="D46">
        <f>Returns!D46 - RiskFree!$C46</f>
        <v>-1.7945359103548202E-2</v>
      </c>
      <c r="E46">
        <f>Returns!E46 - RiskFree!$C46</f>
        <v>0.10438845708823831</v>
      </c>
      <c r="F46">
        <f>Returns!F46 - RiskFree!$C46</f>
        <v>0.10027748280624739</v>
      </c>
      <c r="G46">
        <f>Returns!G46 - RiskFree!$C46</f>
        <v>0.10580689420865565</v>
      </c>
      <c r="H46">
        <f>Returns!H46 - RiskFree!$C46</f>
        <v>7.7685476075397735E-3</v>
      </c>
      <c r="I46">
        <f>Returns!I46 - RiskFree!$C46</f>
        <v>-2.1277944383860308E-2</v>
      </c>
      <c r="J46">
        <f>Returns!J46 - RiskFree!$C46</f>
        <v>4.9158291998209001E-2</v>
      </c>
      <c r="K46">
        <f>Returns!K46 - RiskFree!$C46</f>
        <v>-8.0113971849551255E-2</v>
      </c>
      <c r="L46">
        <f>Returns!L46 - RiskFree!$C46</f>
        <v>0.10584544088176374</v>
      </c>
      <c r="M46">
        <f>Returns!M46 - RiskFree!$C46</f>
        <v>-4.4682400932401873E-3</v>
      </c>
      <c r="N46">
        <f>Returns!N46 - RiskFree!$C46</f>
        <v>3.5726684143628805E-2</v>
      </c>
      <c r="O46">
        <f>Returns!O46 - RiskFree!$C46</f>
        <v>0.13180876604574857</v>
      </c>
      <c r="P46">
        <f>Returns!P46 - RiskFree!$C46</f>
        <v>0.1833285830618894</v>
      </c>
      <c r="Q46">
        <f>Returns!Q46 - RiskFree!$C46</f>
        <v>6.9264455782313009E-2</v>
      </c>
      <c r="R46">
        <f>Returns!R46 - RiskFree!$C46</f>
        <v>2.109293494937094E-2</v>
      </c>
      <c r="S46">
        <f>Returns!S46 - RiskFree!$C46</f>
        <v>1.7247034610536022E-2</v>
      </c>
      <c r="T46">
        <f>Returns!T46 - RiskFree!$C46</f>
        <v>-4.1937913382259313E-3</v>
      </c>
      <c r="U46">
        <f>Returns!U46 - RiskFree!$C46</f>
        <v>7.0309522276590167E-2</v>
      </c>
      <c r="V46">
        <f>Returns!V46 - RiskFree!$C46</f>
        <v>-2.1834200428940225E-2</v>
      </c>
    </row>
    <row r="47" spans="1:22" x14ac:dyDescent="0.2">
      <c r="A47" t="s">
        <v>46</v>
      </c>
      <c r="B47">
        <f>Returns!B47 - RiskFree!$C47</f>
        <v>-2.2133099148100396E-2</v>
      </c>
      <c r="C47">
        <f>Returns!C47 - RiskFree!$C47</f>
        <v>-4.6792550460317314E-2</v>
      </c>
      <c r="D47">
        <f>Returns!D47 - RiskFree!$C47</f>
        <v>-2.6642368974766725E-2</v>
      </c>
      <c r="E47">
        <f>Returns!E47 - RiskFree!$C47</f>
        <v>2.1589080459770107E-2</v>
      </c>
      <c r="F47">
        <f>Returns!F47 - RiskFree!$C47</f>
        <v>5.1779514699186693E-2</v>
      </c>
      <c r="G47">
        <f>Returns!G47 - RiskFree!$C47</f>
        <v>-7.5697269303201573E-2</v>
      </c>
      <c r="H47">
        <f>Returns!H47 - RiskFree!$C47</f>
        <v>-3.9335785630434314E-2</v>
      </c>
      <c r="I47">
        <f>Returns!I47 - RiskFree!$C47</f>
        <v>-2.3274126455906805E-2</v>
      </c>
      <c r="J47">
        <f>Returns!J47 - RiskFree!$C47</f>
        <v>-6.324836998649945E-2</v>
      </c>
      <c r="K47">
        <f>Returns!K47 - RiskFree!$C47</f>
        <v>1.7434798075013205E-2</v>
      </c>
      <c r="L47">
        <f>Returns!L47 - RiskFree!$C47</f>
        <v>-2.193237732317159E-2</v>
      </c>
      <c r="M47">
        <f>Returns!M47 - RiskFree!$C47</f>
        <v>3.2416604500808147E-2</v>
      </c>
      <c r="N47">
        <f>Returns!N47 - RiskFree!$C47</f>
        <v>-2.00588516843863E-2</v>
      </c>
      <c r="O47">
        <f>Returns!O47 - RiskFree!$C47</f>
        <v>6.7114339109751306E-3</v>
      </c>
      <c r="P47">
        <f>Returns!P47 - RiskFree!$C47</f>
        <v>6.2106902068333599E-3</v>
      </c>
      <c r="Q47">
        <f>Returns!Q47 - RiskFree!$C47</f>
        <v>-9.8023786894767956E-3</v>
      </c>
      <c r="R47">
        <f>Returns!R47 - RiskFree!$C47</f>
        <v>2.797411729503281E-2</v>
      </c>
      <c r="S47">
        <f>Returns!S47 - RiskFree!$C47</f>
        <v>-3.9379086739209132E-2</v>
      </c>
      <c r="T47">
        <f>Returns!T47 - RiskFree!$C47</f>
        <v>-8.3046977383217133E-2</v>
      </c>
      <c r="U47">
        <f>Returns!U47 - RiskFree!$C47</f>
        <v>-1.5020548765875705E-2</v>
      </c>
      <c r="V47">
        <f>Returns!V47 - RiskFree!$C47</f>
        <v>-4.5514893133242459E-2</v>
      </c>
    </row>
    <row r="48" spans="1:22" x14ac:dyDescent="0.2">
      <c r="A48" t="s">
        <v>47</v>
      </c>
      <c r="B48">
        <f>Returns!B48 - RiskFree!$C48</f>
        <v>-5.315262449548834E-2</v>
      </c>
      <c r="C48">
        <f>Returns!C48 - RiskFree!$C48</f>
        <v>-9.3112396516964721E-2</v>
      </c>
      <c r="D48">
        <f>Returns!D48 - RiskFree!$C48</f>
        <v>-4.1076920012648774E-2</v>
      </c>
      <c r="E48">
        <f>Returns!E48 - RiskFree!$C48</f>
        <v>-4.3429788201072614E-2</v>
      </c>
      <c r="F48">
        <f>Returns!F48 - RiskFree!$C48</f>
        <v>-0.1230100959608859</v>
      </c>
      <c r="G48">
        <f>Returns!G48 - RiskFree!$C48</f>
        <v>1.0166686944472491E-2</v>
      </c>
      <c r="H48">
        <f>Returns!H48 - RiskFree!$C48</f>
        <v>-4.1110720765297801E-2</v>
      </c>
      <c r="I48">
        <f>Returns!I48 - RiskFree!$C48</f>
        <v>-6.6898002638025297E-2</v>
      </c>
      <c r="J48">
        <f>Returns!J48 - RiskFree!$C48</f>
        <v>5.7622110766611903E-2</v>
      </c>
      <c r="K48">
        <f>Returns!K48 - RiskFree!$C48</f>
        <v>-5.3333056113182217E-2</v>
      </c>
      <c r="L48">
        <f>Returns!L48 - RiskFree!$C48</f>
        <v>9.8562692796226418E-3</v>
      </c>
      <c r="M48">
        <f>Returns!M48 - RiskFree!$C48</f>
        <v>5.3035863536888786E-2</v>
      </c>
      <c r="N48">
        <f>Returns!N48 - RiskFree!$C48</f>
        <v>4.2245747982619666E-2</v>
      </c>
      <c r="O48">
        <f>Returns!O48 - RiskFree!$C48</f>
        <v>2.0356240723626408E-3</v>
      </c>
      <c r="P48">
        <f>Returns!P48 - RiskFree!$C48</f>
        <v>-1.5627363184079691E-2</v>
      </c>
      <c r="Q48">
        <f>Returns!Q48 - RiskFree!$C48</f>
        <v>2.8852221691351997E-2</v>
      </c>
      <c r="R48">
        <f>Returns!R48 - RiskFree!$C48</f>
        <v>-8.3340658889452343E-2</v>
      </c>
      <c r="S48">
        <f>Returns!S48 - RiskFree!$C48</f>
        <v>-3.4889005992973662E-2</v>
      </c>
      <c r="T48">
        <f>Returns!T48 - RiskFree!$C48</f>
        <v>-6.4309451709107443E-2</v>
      </c>
      <c r="U48">
        <f>Returns!U48 - RiskFree!$C48</f>
        <v>-8.9628610354223356E-2</v>
      </c>
      <c r="V48">
        <f>Returns!V48 - RiskFree!$C48</f>
        <v>-6.7424619123836502E-2</v>
      </c>
    </row>
    <row r="49" spans="1:22" x14ac:dyDescent="0.2">
      <c r="A49" t="s">
        <v>48</v>
      </c>
      <c r="B49">
        <f>Returns!B49 - RiskFree!$C49</f>
        <v>-2.6429687736850106E-2</v>
      </c>
      <c r="C49">
        <f>Returns!C49 - RiskFree!$C49</f>
        <v>-7.0270011472950882E-3</v>
      </c>
      <c r="D49">
        <f>Returns!D49 - RiskFree!$C49</f>
        <v>6.6368586122114895E-2</v>
      </c>
      <c r="E49">
        <f>Returns!E49 - RiskFree!$C49</f>
        <v>-5.6264584164186941E-2</v>
      </c>
      <c r="F49">
        <f>Returns!F49 - RiskFree!$C49</f>
        <v>-6.695733046783918E-2</v>
      </c>
      <c r="G49">
        <f>Returns!G49 - RiskFree!$C49</f>
        <v>-9.1913826987781878E-4</v>
      </c>
      <c r="H49">
        <f>Returns!H49 - RiskFree!$C49</f>
        <v>-5.2026243980738344E-2</v>
      </c>
      <c r="I49">
        <f>Returns!I49 - RiskFree!$C49</f>
        <v>-8.3135559240277421E-2</v>
      </c>
      <c r="J49">
        <f>Returns!J49 - RiskFree!$C49</f>
        <v>5.7765707559802433E-2</v>
      </c>
      <c r="K49">
        <f>Returns!K49 - RiskFree!$C49</f>
        <v>-6.8832978875236666E-3</v>
      </c>
      <c r="L49">
        <f>Returns!L49 - RiskFree!$C49</f>
        <v>-5.7314618274520272E-2</v>
      </c>
      <c r="M49">
        <f>Returns!M49 - RiskFree!$C49</f>
        <v>-0.10421186426262978</v>
      </c>
      <c r="N49">
        <f>Returns!N49 - RiskFree!$C49</f>
        <v>-0.14019902146839053</v>
      </c>
      <c r="O49">
        <f>Returns!O49 - RiskFree!$C49</f>
        <v>-1.2797245409014991E-2</v>
      </c>
      <c r="P49">
        <f>Returns!P49 - RiskFree!$C49</f>
        <v>-4.9733018867924521E-2</v>
      </c>
      <c r="Q49">
        <f>Returns!Q49 - RiskFree!$C49</f>
        <v>-5.1768125770653421E-2</v>
      </c>
      <c r="R49">
        <f>Returns!R49 - RiskFree!$C49</f>
        <v>4.2513499056010158E-2</v>
      </c>
      <c r="S49">
        <f>Returns!S49 - RiskFree!$C49</f>
        <v>-0.20179633522500201</v>
      </c>
      <c r="T49">
        <f>Returns!T49 - RiskFree!$C49</f>
        <v>7.0325151641915731E-2</v>
      </c>
      <c r="U49">
        <f>Returns!U49 - RiskFree!$C49</f>
        <v>-6.226705056923492E-2</v>
      </c>
      <c r="V49">
        <f>Returns!V49 - RiskFree!$C49</f>
        <v>-9.2708320680229724E-3</v>
      </c>
    </row>
    <row r="50" spans="1:22" x14ac:dyDescent="0.2">
      <c r="A50" t="s">
        <v>49</v>
      </c>
      <c r="B50">
        <f>Returns!B50 - RiskFree!$C50</f>
        <v>8.478759796207104E-2</v>
      </c>
      <c r="C50">
        <f>Returns!C50 - RiskFree!$C50</f>
        <v>0.10938961891026223</v>
      </c>
      <c r="D50">
        <f>Returns!D50 - RiskFree!$C50</f>
        <v>0.11855374434070533</v>
      </c>
      <c r="E50">
        <f>Returns!E50 - RiskFree!$C50</f>
        <v>6.3713678227859019E-2</v>
      </c>
      <c r="F50">
        <f>Returns!F50 - RiskFree!$C50</f>
        <v>0.14249450256225341</v>
      </c>
      <c r="G50">
        <f>Returns!G50 - RiskFree!$C50</f>
        <v>8.1511343921841908E-2</v>
      </c>
      <c r="H50">
        <f>Returns!H50 - RiskFree!$C50</f>
        <v>3.8213160082692835E-2</v>
      </c>
      <c r="I50">
        <f>Returns!I50 - RiskFree!$C50</f>
        <v>-7.3366928446771786E-3</v>
      </c>
      <c r="J50">
        <f>Returns!J50 - RiskFree!$C50</f>
        <v>2.8118832076563422E-2</v>
      </c>
      <c r="K50">
        <f>Returns!K50 - RiskFree!$C50</f>
        <v>-6.529648077714151E-3</v>
      </c>
      <c r="L50">
        <f>Returns!L50 - RiskFree!$C50</f>
        <v>4.1789524011898336E-3</v>
      </c>
      <c r="M50">
        <f>Returns!M50 - RiskFree!$C50</f>
        <v>-3.3772866477720029E-2</v>
      </c>
      <c r="N50">
        <f>Returns!N50 - RiskFree!$C50</f>
        <v>-1.9007737482559E-2</v>
      </c>
      <c r="O50">
        <f>Returns!O50 - RiskFree!$C50</f>
        <v>-3.1580218855218875E-2</v>
      </c>
      <c r="P50">
        <f>Returns!P50 - RiskFree!$C50</f>
        <v>-6.9429395736016239E-2</v>
      </c>
      <c r="Q50">
        <f>Returns!Q50 - RiskFree!$C50</f>
        <v>-4.7426774254435741E-2</v>
      </c>
      <c r="R50">
        <f>Returns!R50 - RiskFree!$C50</f>
        <v>9.3286596162997518E-2</v>
      </c>
      <c r="S50">
        <f>Returns!S50 - RiskFree!$C50</f>
        <v>0.1909877398260639</v>
      </c>
      <c r="T50">
        <f>Returns!T50 - RiskFree!$C50</f>
        <v>6.8586829003275965E-2</v>
      </c>
      <c r="U50">
        <f>Returns!U50 - RiskFree!$C50</f>
        <v>9.6771001498706335E-2</v>
      </c>
      <c r="V50">
        <f>Returns!V50 - RiskFree!$C50</f>
        <v>7.0635987145745052E-2</v>
      </c>
    </row>
    <row r="51" spans="1:22" x14ac:dyDescent="0.2">
      <c r="A51" t="s">
        <v>50</v>
      </c>
      <c r="B51">
        <f>Returns!B51 - RiskFree!$C51</f>
        <v>3.9862502736547088E-2</v>
      </c>
      <c r="C51">
        <f>Returns!C51 - RiskFree!$C51</f>
        <v>9.2232833375702379E-3</v>
      </c>
      <c r="D51">
        <f>Returns!D51 - RiskFree!$C51</f>
        <v>-1.1941819951182858E-2</v>
      </c>
      <c r="E51">
        <f>Returns!E51 - RiskFree!$C51</f>
        <v>4.9649932854734145E-2</v>
      </c>
      <c r="F51">
        <f>Returns!F51 - RiskFree!$C51</f>
        <v>5.4566828083369288E-2</v>
      </c>
      <c r="G51">
        <f>Returns!G51 - RiskFree!$C51</f>
        <v>7.7583509093688011E-2</v>
      </c>
      <c r="H51">
        <f>Returns!H51 - RiskFree!$C51</f>
        <v>9.0821888874521202E-3</v>
      </c>
      <c r="I51">
        <f>Returns!I51 - RiskFree!$C51</f>
        <v>-5.9502866207198281E-2</v>
      </c>
      <c r="J51">
        <f>Returns!J51 - RiskFree!$C51</f>
        <v>-4.9041378397622938E-2</v>
      </c>
      <c r="K51">
        <f>Returns!K51 - RiskFree!$C51</f>
        <v>6.7156743500709618E-2</v>
      </c>
      <c r="L51">
        <f>Returns!L51 - RiskFree!$C51</f>
        <v>8.3982234239295919E-2</v>
      </c>
      <c r="M51">
        <f>Returns!M51 - RiskFree!$C51</f>
        <v>-3.1230595029524227E-2</v>
      </c>
      <c r="N51">
        <f>Returns!N51 - RiskFree!$C51</f>
        <v>3.4351996285979701E-2</v>
      </c>
      <c r="O51">
        <f>Returns!O51 - RiskFree!$C51</f>
        <v>-4.0284387528492609E-5</v>
      </c>
      <c r="P51">
        <f>Returns!P51 - RiskFree!$C51</f>
        <v>-4.3666666666666671E-3</v>
      </c>
      <c r="Q51">
        <f>Returns!Q51 - RiskFree!$C51</f>
        <v>5.1007889546352452E-3</v>
      </c>
      <c r="R51">
        <f>Returns!R51 - RiskFree!$C51</f>
        <v>3.5677141944463441E-2</v>
      </c>
      <c r="S51">
        <f>Returns!S51 - RiskFree!$C51</f>
        <v>3.0621670554259645E-2</v>
      </c>
      <c r="T51">
        <f>Returns!T51 - RiskFree!$C51</f>
        <v>-1.978337111937371E-2</v>
      </c>
      <c r="U51">
        <f>Returns!U51 - RiskFree!$C51</f>
        <v>0.10109124267653398</v>
      </c>
      <c r="V51">
        <f>Returns!V51 - RiskFree!$C51</f>
        <v>4.7684142302961662E-2</v>
      </c>
    </row>
    <row r="52" spans="1:22" x14ac:dyDescent="0.2">
      <c r="A52" t="s">
        <v>51</v>
      </c>
      <c r="B52">
        <f>Returns!B52 - RiskFree!$C52</f>
        <v>1.1545744712075555E-2</v>
      </c>
      <c r="C52">
        <f>Returns!C52 - RiskFree!$C52</f>
        <v>-4.6584901923900891E-2</v>
      </c>
      <c r="D52">
        <f>Returns!D52 - RiskFree!$C52</f>
        <v>5.2928117288994679E-2</v>
      </c>
      <c r="E52">
        <f>Returns!E52 - RiskFree!$C52</f>
        <v>-1.4114649567124396E-3</v>
      </c>
      <c r="F52">
        <f>Returns!F52 - RiskFree!$C52</f>
        <v>0.23806536721337976</v>
      </c>
      <c r="G52">
        <f>Returns!G52 - RiskFree!$C52</f>
        <v>9.7864939541191104E-2</v>
      </c>
      <c r="H52">
        <f>Returns!H52 - RiskFree!$C52</f>
        <v>9.4307834630598872E-3</v>
      </c>
      <c r="I52">
        <f>Returns!I52 - RiskFree!$C52</f>
        <v>-6.3745623480375185E-2</v>
      </c>
      <c r="J52">
        <f>Returns!J52 - RiskFree!$C52</f>
        <v>-3.2329887260956348E-2</v>
      </c>
      <c r="K52">
        <f>Returns!K52 - RiskFree!$C52</f>
        <v>0.10351438505898755</v>
      </c>
      <c r="L52">
        <f>Returns!L52 - RiskFree!$C52</f>
        <v>5.6500487191069336E-2</v>
      </c>
      <c r="M52">
        <f>Returns!M52 - RiskFree!$C52</f>
        <v>2.3955661132226323E-2</v>
      </c>
      <c r="N52">
        <f>Returns!N52 - RiskFree!$C52</f>
        <v>-1.5948283722177416E-2</v>
      </c>
      <c r="O52">
        <f>Returns!O52 - RiskFree!$C52</f>
        <v>-4.0535060739209018E-2</v>
      </c>
      <c r="P52">
        <f>Returns!P52 - RiskFree!$C52</f>
        <v>-6.8531398923904613E-2</v>
      </c>
      <c r="Q52">
        <f>Returns!Q52 - RiskFree!$C52</f>
        <v>-4.0189892815273777E-2</v>
      </c>
      <c r="R52">
        <f>Returns!R52 - RiskFree!$C52</f>
        <v>1.710583783072258E-2</v>
      </c>
      <c r="S52">
        <f>Returns!S52 - RiskFree!$C52</f>
        <v>-0.25060724404378626</v>
      </c>
      <c r="T52">
        <f>Returns!T52 - RiskFree!$C52</f>
        <v>-6.9192958459979664E-2</v>
      </c>
      <c r="U52">
        <f>Returns!U52 - RiskFree!$C52</f>
        <v>1.4146609435867839E-2</v>
      </c>
      <c r="V52">
        <f>Returns!V52 - RiskFree!$C52</f>
        <v>-1.7132030960169832E-2</v>
      </c>
    </row>
    <row r="53" spans="1:22" x14ac:dyDescent="0.2">
      <c r="A53" t="s">
        <v>52</v>
      </c>
      <c r="B53">
        <f>Returns!B53 - RiskFree!$C53</f>
        <v>4.7353948730648653E-2</v>
      </c>
      <c r="C53">
        <f>Returns!C53 - RiskFree!$C53</f>
        <v>-2.2910139353369868E-2</v>
      </c>
      <c r="D53">
        <f>Returns!D53 - RiskFree!$C53</f>
        <v>3.7954202607687969E-2</v>
      </c>
      <c r="E53">
        <f>Returns!E53 - RiskFree!$C53</f>
        <v>-1.6072040823148986E-2</v>
      </c>
      <c r="F53">
        <f>Returns!F53 - RiskFree!$C53</f>
        <v>0.28144446819867935</v>
      </c>
      <c r="G53">
        <f>Returns!G53 - RiskFree!$C53</f>
        <v>0.25192594624152015</v>
      </c>
      <c r="H53">
        <f>Returns!H53 - RiskFree!$C53</f>
        <v>1.12406335221313E-2</v>
      </c>
      <c r="I53">
        <f>Returns!I53 - RiskFree!$C53</f>
        <v>-2.3569030034465793E-2</v>
      </c>
      <c r="J53">
        <f>Returns!J53 - RiskFree!$C53</f>
        <v>-3.9814334234630246E-2</v>
      </c>
      <c r="K53">
        <f>Returns!K53 - RiskFree!$C53</f>
        <v>4.8375931422998307E-2</v>
      </c>
      <c r="L53">
        <f>Returns!L53 - RiskFree!$C53</f>
        <v>6.6497080291970836E-2</v>
      </c>
      <c r="M53">
        <f>Returns!M53 - RiskFree!$C53</f>
        <v>1.2265956619005942E-2</v>
      </c>
      <c r="N53">
        <f>Returns!N53 - RiskFree!$C53</f>
        <v>2.6698923783038137E-2</v>
      </c>
      <c r="O53">
        <f>Returns!O53 - RiskFree!$C53</f>
        <v>1.6224278180029987E-3</v>
      </c>
      <c r="P53">
        <f>Returns!P53 - RiskFree!$C53</f>
        <v>-1.1964202600958356E-2</v>
      </c>
      <c r="Q53">
        <f>Returns!Q53 - RiskFree!$C53</f>
        <v>4.8438613861386114E-2</v>
      </c>
      <c r="R53">
        <f>Returns!R53 - RiskFree!$C53</f>
        <v>0.13455085910652917</v>
      </c>
      <c r="S53">
        <f>Returns!S53 - RiskFree!$C53</f>
        <v>7.3533915318490142E-2</v>
      </c>
      <c r="T53">
        <f>Returns!T53 - RiskFree!$C53</f>
        <v>1.9271666830821894E-2</v>
      </c>
      <c r="U53">
        <f>Returns!U53 - RiskFree!$C53</f>
        <v>7.3970822000604522E-2</v>
      </c>
      <c r="V53">
        <f>Returns!V53 - RiskFree!$C53</f>
        <v>-5.8698096018950192E-3</v>
      </c>
    </row>
    <row r="54" spans="1:22" x14ac:dyDescent="0.2">
      <c r="A54" t="s">
        <v>53</v>
      </c>
      <c r="B54">
        <f>Returns!B54 - RiskFree!$C54</f>
        <v>2.6652098037715139E-2</v>
      </c>
      <c r="C54">
        <f>Returns!C54 - RiskFree!$C54</f>
        <v>-5.5650713359273664E-2</v>
      </c>
      <c r="D54">
        <f>Returns!D54 - RiskFree!$C54</f>
        <v>1.2751017717366604E-2</v>
      </c>
      <c r="E54">
        <f>Returns!E54 - RiskFree!$C54</f>
        <v>8.5695670242582359E-2</v>
      </c>
      <c r="F54">
        <f>Returns!F54 - RiskFree!$C54</f>
        <v>0.13781511197426718</v>
      </c>
      <c r="G54">
        <f>Returns!G54 - RiskFree!$C54</f>
        <v>-1.364991804895303E-2</v>
      </c>
      <c r="H54">
        <f>Returns!H54 - RiskFree!$C54</f>
        <v>-2.4133676209360948E-2</v>
      </c>
      <c r="I54">
        <f>Returns!I54 - RiskFree!$C54</f>
        <v>4.0437550200803161E-2</v>
      </c>
      <c r="J54">
        <f>Returns!J54 - RiskFree!$C54</f>
        <v>1.8100781388740899E-3</v>
      </c>
      <c r="K54">
        <f>Returns!K54 - RiskFree!$C54</f>
        <v>3.9956766743151483E-2</v>
      </c>
      <c r="L54">
        <f>Returns!L54 - RiskFree!$C54</f>
        <v>2.9998570481870563E-2</v>
      </c>
      <c r="M54">
        <f>Returns!M54 - RiskFree!$C54</f>
        <v>0.10776498277841569</v>
      </c>
      <c r="N54">
        <f>Returns!N54 - RiskFree!$C54</f>
        <v>3.332822182751146E-2</v>
      </c>
      <c r="O54">
        <f>Returns!O54 - RiskFree!$C54</f>
        <v>0.12660898643445281</v>
      </c>
      <c r="P54">
        <f>Returns!P54 - RiskFree!$C54</f>
        <v>0.12971154562383622</v>
      </c>
      <c r="Q54">
        <f>Returns!Q54 - RiskFree!$C54</f>
        <v>6.7898636088654166E-2</v>
      </c>
      <c r="R54">
        <f>Returns!R54 - RiskFree!$C54</f>
        <v>1.6113079882326315E-2</v>
      </c>
      <c r="S54">
        <f>Returns!S54 - RiskFree!$C54</f>
        <v>-0.13360185588798626</v>
      </c>
      <c r="T54">
        <f>Returns!T54 - RiskFree!$C54</f>
        <v>-0.10010418230219058</v>
      </c>
      <c r="U54">
        <f>Returns!U54 - RiskFree!$C54</f>
        <v>3.4891437429389232E-3</v>
      </c>
      <c r="V54">
        <f>Returns!V54 - RiskFree!$C54</f>
        <v>-3.9709488618219914E-2</v>
      </c>
    </row>
    <row r="55" spans="1:22" x14ac:dyDescent="0.2">
      <c r="A55" t="s">
        <v>54</v>
      </c>
      <c r="B55">
        <f>Returns!B55 - RiskFree!$C55</f>
        <v>-4.5981709440749231E-2</v>
      </c>
      <c r="C55">
        <f>Returns!C55 - RiskFree!$C55</f>
        <v>-1.1075362777380676E-2</v>
      </c>
      <c r="D55">
        <f>Returns!D55 - RiskFree!$C55</f>
        <v>-7.8977656938435767E-2</v>
      </c>
      <c r="E55">
        <f>Returns!E55 - RiskFree!$C55</f>
        <v>7.4145152996198685E-2</v>
      </c>
      <c r="F55">
        <f>Returns!F55 - RiskFree!$C55</f>
        <v>-4.8128366212909647E-2</v>
      </c>
      <c r="G55">
        <f>Returns!G55 - RiskFree!$C55</f>
        <v>-0.11847762675563238</v>
      </c>
      <c r="H55">
        <f>Returns!H55 - RiskFree!$C55</f>
        <v>-9.0339231304127951E-2</v>
      </c>
      <c r="I55">
        <f>Returns!I55 - RiskFree!$C55</f>
        <v>-8.1123423423423421E-2</v>
      </c>
      <c r="J55">
        <f>Returns!J55 - RiskFree!$C55</f>
        <v>-2.6601298916190935E-2</v>
      </c>
      <c r="K55">
        <f>Returns!K55 - RiskFree!$C55</f>
        <v>-2.5046237757044214E-2</v>
      </c>
      <c r="L55">
        <f>Returns!L55 - RiskFree!$C55</f>
        <v>-0.11123102690829216</v>
      </c>
      <c r="M55">
        <f>Returns!M55 - RiskFree!$C55</f>
        <v>1.3097201192934189E-2</v>
      </c>
      <c r="N55">
        <f>Returns!N55 - RiskFree!$C55</f>
        <v>1.8011931025738465E-2</v>
      </c>
      <c r="O55">
        <f>Returns!O55 - RiskFree!$C55</f>
        <v>-1.7408778545987807E-2</v>
      </c>
      <c r="P55">
        <f>Returns!P55 - RiskFree!$C55</f>
        <v>-0.13810138660828322</v>
      </c>
      <c r="Q55">
        <f>Returns!Q55 - RiskFree!$C55</f>
        <v>1.3328363337949473E-2</v>
      </c>
      <c r="R55">
        <f>Returns!R55 - RiskFree!$C55</f>
        <v>-3.4192589718002687E-2</v>
      </c>
      <c r="S55">
        <f>Returns!S55 - RiskFree!$C55</f>
        <v>3.8240990196636258E-2</v>
      </c>
      <c r="T55">
        <f>Returns!T55 - RiskFree!$C55</f>
        <v>-2.2668432999929083E-2</v>
      </c>
      <c r="U55">
        <f>Returns!U55 - RiskFree!$C55</f>
        <v>-0.13309450816823079</v>
      </c>
      <c r="V55">
        <f>Returns!V55 - RiskFree!$C55</f>
        <v>-3.5968014423360985E-2</v>
      </c>
    </row>
    <row r="56" spans="1:22" x14ac:dyDescent="0.2">
      <c r="A56" t="s">
        <v>55</v>
      </c>
      <c r="B56">
        <f>Returns!B56 - RiskFree!$C56</f>
        <v>4.3646224499522622E-2</v>
      </c>
      <c r="C56">
        <f>Returns!C56 - RiskFree!$C56</f>
        <v>0.1258505071403713</v>
      </c>
      <c r="D56">
        <f>Returns!D56 - RiskFree!$C56</f>
        <v>6.3814743126138232E-2</v>
      </c>
      <c r="E56">
        <f>Returns!E56 - RiskFree!$C56</f>
        <v>5.5338179441649447E-2</v>
      </c>
      <c r="F56">
        <f>Returns!F56 - RiskFree!$C56</f>
        <v>0.26449622821437457</v>
      </c>
      <c r="G56">
        <f>Returns!G56 - RiskFree!$C56</f>
        <v>8.0847121486854037E-2</v>
      </c>
      <c r="H56">
        <f>Returns!H56 - RiskFree!$C56</f>
        <v>2.3220269382391762E-2</v>
      </c>
      <c r="I56">
        <f>Returns!I56 - RiskFree!$C56</f>
        <v>9.4766295862607222E-2</v>
      </c>
      <c r="J56">
        <f>Returns!J56 - RiskFree!$C56</f>
        <v>1.9750822351024783E-2</v>
      </c>
      <c r="K56">
        <f>Returns!K56 - RiskFree!$C56</f>
        <v>-3.2853887703914265E-2</v>
      </c>
      <c r="L56">
        <f>Returns!L56 - RiskFree!$C56</f>
        <v>2.6958312838170255E-3</v>
      </c>
      <c r="M56">
        <f>Returns!M56 - RiskFree!$C56</f>
        <v>-1.7226948930413415E-2</v>
      </c>
      <c r="N56">
        <f>Returns!N56 - RiskFree!$C56</f>
        <v>-1.0699796924412568E-2</v>
      </c>
      <c r="O56">
        <f>Returns!O56 - RiskFree!$C56</f>
        <v>-3.1361148702435872E-2</v>
      </c>
      <c r="P56">
        <f>Returns!P56 - RiskFree!$C56</f>
        <v>5.7345197978096079E-3</v>
      </c>
      <c r="Q56">
        <f>Returns!Q56 - RiskFree!$C56</f>
        <v>-2.1308776837012471E-2</v>
      </c>
      <c r="R56">
        <f>Returns!R56 - RiskFree!$C56</f>
        <v>3.8535714285714744E-3</v>
      </c>
      <c r="S56">
        <f>Returns!S56 - RiskFree!$C56</f>
        <v>-3.2746890004364794E-2</v>
      </c>
      <c r="T56">
        <f>Returns!T56 - RiskFree!$C56</f>
        <v>7.5478267938433779E-3</v>
      </c>
      <c r="U56">
        <f>Returns!U56 - RiskFree!$C56</f>
        <v>1.9770772245826036E-2</v>
      </c>
      <c r="V56">
        <f>Returns!V56 - RiskFree!$C56</f>
        <v>-1.8072626721359546E-2</v>
      </c>
    </row>
    <row r="57" spans="1:22" x14ac:dyDescent="0.2">
      <c r="A57" t="s">
        <v>56</v>
      </c>
      <c r="B57">
        <f>Returns!B57 - RiskFree!$C57</f>
        <v>3.0303092367423196E-2</v>
      </c>
      <c r="C57">
        <f>Returns!C57 - RiskFree!$C57</f>
        <v>9.1183577062652746E-2</v>
      </c>
      <c r="D57">
        <f>Returns!D57 - RiskFree!$C57</f>
        <v>7.2285773758427888E-2</v>
      </c>
      <c r="E57">
        <f>Returns!E57 - RiskFree!$C57</f>
        <v>5.2790486413733816E-2</v>
      </c>
      <c r="F57">
        <f>Returns!F57 - RiskFree!$C57</f>
        <v>0.12256865680719904</v>
      </c>
      <c r="G57">
        <f>Returns!G57 - RiskFree!$C57</f>
        <v>7.5726729216202895E-2</v>
      </c>
      <c r="H57">
        <f>Returns!H57 - RiskFree!$C57</f>
        <v>-2.0654188540404832E-2</v>
      </c>
      <c r="I57">
        <f>Returns!I57 - RiskFree!$C57</f>
        <v>-1.0758712121212082E-2</v>
      </c>
      <c r="J57">
        <f>Returns!J57 - RiskFree!$C57</f>
        <v>2.8037518116503308E-2</v>
      </c>
      <c r="K57">
        <f>Returns!K57 - RiskFree!$C57</f>
        <v>-1.2335442077302566E-2</v>
      </c>
      <c r="L57">
        <f>Returns!L57 - RiskFree!$C57</f>
        <v>4.282791175692454E-2</v>
      </c>
      <c r="M57">
        <f>Returns!M57 - RiskFree!$C57</f>
        <v>-1.8328122769450322E-2</v>
      </c>
      <c r="N57">
        <f>Returns!N57 - RiskFree!$C57</f>
        <v>-2.826682267290696E-2</v>
      </c>
      <c r="O57">
        <f>Returns!O57 - RiskFree!$C57</f>
        <v>-6.8589852463934162E-2</v>
      </c>
      <c r="P57">
        <f>Returns!P57 - RiskFree!$C57</f>
        <v>-2.0630219627467399E-2</v>
      </c>
      <c r="Q57">
        <f>Returns!Q57 - RiskFree!$C57</f>
        <v>-3.497263406131438E-2</v>
      </c>
      <c r="R57">
        <f>Returns!R57 - RiskFree!$C57</f>
        <v>9.0906514017985399E-2</v>
      </c>
      <c r="S57">
        <f>Returns!S57 - RiskFree!$C57</f>
        <v>0.10681931716082645</v>
      </c>
      <c r="T57">
        <f>Returns!T57 - RiskFree!$C57</f>
        <v>-0.19706161096829469</v>
      </c>
      <c r="U57">
        <f>Returns!U57 - RiskFree!$C57</f>
        <v>1.3302569945563185E-3</v>
      </c>
      <c r="V57">
        <f>Returns!V57 - RiskFree!$C57</f>
        <v>-5.8061430870157173E-2</v>
      </c>
    </row>
    <row r="58" spans="1:22" x14ac:dyDescent="0.2">
      <c r="A58" t="s">
        <v>57</v>
      </c>
      <c r="B58">
        <f>Returns!B58 - RiskFree!$C58</f>
        <v>6.9880157055790199E-3</v>
      </c>
      <c r="C58">
        <f>Returns!C58 - RiskFree!$C58</f>
        <v>5.0079426177704632E-2</v>
      </c>
      <c r="D58">
        <f>Returns!D58 - RiskFree!$C58</f>
        <v>-6.8323631027912862E-2</v>
      </c>
      <c r="E58">
        <f>Returns!E58 - RiskFree!$C58</f>
        <v>-6.2582875163042645E-2</v>
      </c>
      <c r="F58">
        <f>Returns!F58 - RiskFree!$C58</f>
        <v>-5.7102115716752978E-2</v>
      </c>
      <c r="G58">
        <f>Returns!G58 - RiskFree!$C58</f>
        <v>-6.2621382200891224E-2</v>
      </c>
      <c r="H58">
        <f>Returns!H58 - RiskFree!$C58</f>
        <v>7.564750957854402E-2</v>
      </c>
      <c r="I58">
        <f>Returns!I58 - RiskFree!$C58</f>
        <v>8.7160590898260643E-2</v>
      </c>
      <c r="J58">
        <f>Returns!J58 - RiskFree!$C58</f>
        <v>0.12703116970074066</v>
      </c>
      <c r="K58">
        <f>Returns!K58 - RiskFree!$C58</f>
        <v>-9.0513661202185763E-2</v>
      </c>
      <c r="L58">
        <f>Returns!L58 - RiskFree!$C58</f>
        <v>7.6123756218905408E-2</v>
      </c>
      <c r="M58">
        <f>Returns!M58 - RiskFree!$C58</f>
        <v>2.5809126708362183E-2</v>
      </c>
      <c r="N58">
        <f>Returns!N58 - RiskFree!$C58</f>
        <v>2.1558496355964706E-2</v>
      </c>
      <c r="O58">
        <f>Returns!O58 - RiskFree!$C58</f>
        <v>-3.2135396631112569E-2</v>
      </c>
      <c r="P58">
        <f>Returns!P58 - RiskFree!$C58</f>
        <v>1.919358485233854E-2</v>
      </c>
      <c r="Q58">
        <f>Returns!Q58 - RiskFree!$C58</f>
        <v>-3.9396001903855317E-2</v>
      </c>
      <c r="R58">
        <f>Returns!R58 - RiskFree!$C58</f>
        <v>-3.6778352738249288E-2</v>
      </c>
      <c r="S58">
        <f>Returns!S58 - RiskFree!$C58</f>
        <v>0.16844815039417835</v>
      </c>
      <c r="T58">
        <f>Returns!T58 - RiskFree!$C58</f>
        <v>-1.1099951351112337E-2</v>
      </c>
      <c r="U58">
        <f>Returns!U58 - RiskFree!$C58</f>
        <v>6.5153071500503507E-2</v>
      </c>
      <c r="V58">
        <f>Returns!V58 - RiskFree!$C58</f>
        <v>3.7104431538743175E-2</v>
      </c>
    </row>
    <row r="59" spans="1:22" x14ac:dyDescent="0.2">
      <c r="A59" t="s">
        <v>58</v>
      </c>
      <c r="B59">
        <f>Returns!B59 - RiskFree!$C59</f>
        <v>1.8626355111698557E-2</v>
      </c>
      <c r="C59">
        <f>Returns!C59 - RiskFree!$C59</f>
        <v>2.8145192527800934E-2</v>
      </c>
      <c r="D59">
        <f>Returns!D59 - RiskFree!$C59</f>
        <v>-5.3024803665392053E-3</v>
      </c>
      <c r="E59">
        <f>Returns!E59 - RiskFree!$C59</f>
        <v>-5.1783968717310357E-2</v>
      </c>
      <c r="F59">
        <f>Returns!F59 - RiskFree!$C59</f>
        <v>1.5876793416636871E-2</v>
      </c>
      <c r="G59">
        <f>Returns!G59 - RiskFree!$C59</f>
        <v>9.367933172574032E-2</v>
      </c>
      <c r="H59">
        <f>Returns!H59 - RiskFree!$C59</f>
        <v>4.6536044240312692E-2</v>
      </c>
      <c r="I59">
        <f>Returns!I59 - RiskFree!$C59</f>
        <v>-5.4306565160445262E-2</v>
      </c>
      <c r="J59">
        <f>Returns!J59 - RiskFree!$C59</f>
        <v>2.0162026819598368E-2</v>
      </c>
      <c r="K59">
        <f>Returns!K59 - RiskFree!$C59</f>
        <v>4.2819993093303123E-2</v>
      </c>
      <c r="L59">
        <f>Returns!L59 - RiskFree!$C59</f>
        <v>5.5094494208216362E-2</v>
      </c>
      <c r="M59">
        <f>Returns!M59 - RiskFree!$C59</f>
        <v>-9.6894025634539274E-3</v>
      </c>
      <c r="N59">
        <f>Returns!N59 - RiskFree!$C59</f>
        <v>-8.2229147192621713E-2</v>
      </c>
      <c r="O59">
        <f>Returns!O59 - RiskFree!$C59</f>
        <v>1.9083033573141596E-2</v>
      </c>
      <c r="P59">
        <f>Returns!P59 - RiskFree!$C59</f>
        <v>-9.3253684337681955E-2</v>
      </c>
      <c r="Q59">
        <f>Returns!Q59 - RiskFree!$C59</f>
        <v>-6.7345459278746092E-2</v>
      </c>
      <c r="R59">
        <f>Returns!R59 - RiskFree!$C59</f>
        <v>-4.9560777445002945E-2</v>
      </c>
      <c r="S59">
        <f>Returns!S59 - RiskFree!$C59</f>
        <v>-8.1598775872222376E-2</v>
      </c>
      <c r="T59">
        <f>Returns!T59 - RiskFree!$C59</f>
        <v>0.10880262044705673</v>
      </c>
      <c r="U59">
        <f>Returns!U59 - RiskFree!$C59</f>
        <v>-3.2848218166014655E-3</v>
      </c>
      <c r="V59">
        <f>Returns!V59 - RiskFree!$C59</f>
        <v>8.3432962823411436E-2</v>
      </c>
    </row>
    <row r="60" spans="1:22" x14ac:dyDescent="0.2">
      <c r="A60" t="s">
        <v>59</v>
      </c>
      <c r="B60">
        <f>Returns!B60 - RiskFree!$C60</f>
        <v>1.6263536576729642E-2</v>
      </c>
      <c r="C60">
        <f>Returns!C60 - RiskFree!$C60</f>
        <v>1.3532979134663902E-2</v>
      </c>
      <c r="D60">
        <f>Returns!D60 - RiskFree!$C60</f>
        <v>2.7613097545801556E-2</v>
      </c>
      <c r="E60">
        <f>Returns!E60 - RiskFree!$C60</f>
        <v>1.2535349172066123E-2</v>
      </c>
      <c r="F60">
        <f>Returns!F60 - RiskFree!$C60</f>
        <v>1.3494108184194619E-2</v>
      </c>
      <c r="G60">
        <f>Returns!G60 - RiskFree!$C60</f>
        <v>9.4146503999539735E-2</v>
      </c>
      <c r="H60">
        <f>Returns!H60 - RiskFree!$C60</f>
        <v>-2.6844222034647747E-2</v>
      </c>
      <c r="I60">
        <f>Returns!I60 - RiskFree!$C60</f>
        <v>-6.3462943812478854E-3</v>
      </c>
      <c r="J60">
        <f>Returns!J60 - RiskFree!$C60</f>
        <v>-9.7752393414850432E-3</v>
      </c>
      <c r="K60">
        <f>Returns!K60 - RiskFree!$C60</f>
        <v>-3.880898548489807E-2</v>
      </c>
      <c r="L60">
        <f>Returns!L60 - RiskFree!$C60</f>
        <v>2.0266279523881827E-3</v>
      </c>
      <c r="M60">
        <f>Returns!M60 - RiskFree!$C60</f>
        <v>-1.0038132383697874E-2</v>
      </c>
      <c r="N60">
        <f>Returns!N60 - RiskFree!$C60</f>
        <v>-8.5294806804099184E-3</v>
      </c>
      <c r="O60">
        <f>Returns!O60 - RiskFree!$C60</f>
        <v>-7.8720221460585313E-2</v>
      </c>
      <c r="P60">
        <f>Returns!P60 - RiskFree!$C60</f>
        <v>-5.0307509282412663E-2</v>
      </c>
      <c r="Q60">
        <f>Returns!Q60 - RiskFree!$C60</f>
        <v>-9.9405428805428783E-2</v>
      </c>
      <c r="R60">
        <f>Returns!R60 - RiskFree!$C60</f>
        <v>3.9932212885154042E-2</v>
      </c>
      <c r="S60">
        <f>Returns!S60 - RiskFree!$C60</f>
        <v>0.21800865910046219</v>
      </c>
      <c r="T60">
        <f>Returns!T60 - RiskFree!$C60</f>
        <v>5.7036421827492592E-2</v>
      </c>
      <c r="U60">
        <f>Returns!U60 - RiskFree!$C60</f>
        <v>9.565961103573041E-2</v>
      </c>
      <c r="V60">
        <f>Returns!V60 - RiskFree!$C60</f>
        <v>5.0975556017459858E-2</v>
      </c>
    </row>
    <row r="61" spans="1:22" x14ac:dyDescent="0.2">
      <c r="A61" t="s">
        <v>60</v>
      </c>
      <c r="B61">
        <f>Returns!B61 - RiskFree!$C61</f>
        <v>-1.3655113886150842E-2</v>
      </c>
      <c r="C61">
        <f>Returns!C61 - RiskFree!$C61</f>
        <v>-3.4185710230205474E-2</v>
      </c>
      <c r="D61">
        <f>Returns!D61 - RiskFree!$C61</f>
        <v>-5.9416865375062106E-2</v>
      </c>
      <c r="E61">
        <f>Returns!E61 - RiskFree!$C61</f>
        <v>2.7957228661113141E-2</v>
      </c>
      <c r="F61">
        <f>Returns!F61 - RiskFree!$C61</f>
        <v>8.9454328897380114E-2</v>
      </c>
      <c r="G61">
        <f>Returns!G61 - RiskFree!$C61</f>
        <v>-1.2248306081568931E-2</v>
      </c>
      <c r="H61">
        <f>Returns!H61 - RiskFree!$C61</f>
        <v>-1.7333552388004405E-2</v>
      </c>
      <c r="I61">
        <f>Returns!I61 - RiskFree!$C61</f>
        <v>-2.5873053443906915E-2</v>
      </c>
      <c r="J61">
        <f>Returns!J61 - RiskFree!$C61</f>
        <v>-3.8272528155509439E-2</v>
      </c>
      <c r="K61">
        <f>Returns!K61 - RiskFree!$C61</f>
        <v>-0.1027393200364525</v>
      </c>
      <c r="L61">
        <f>Returns!L61 - RiskFree!$C61</f>
        <v>2.8599373776247525E-2</v>
      </c>
      <c r="M61">
        <f>Returns!M61 - RiskFree!$C61</f>
        <v>-7.5119589944833403E-3</v>
      </c>
      <c r="N61">
        <f>Returns!N61 - RiskFree!$C61</f>
        <v>6.7665529299924827E-3</v>
      </c>
      <c r="O61">
        <f>Returns!O61 - RiskFree!$C61</f>
        <v>3.6705192502532985E-2</v>
      </c>
      <c r="P61">
        <f>Returns!P61 - RiskFree!$C61</f>
        <v>-4.8573589590782756E-2</v>
      </c>
      <c r="Q61">
        <f>Returns!Q61 - RiskFree!$C61</f>
        <v>-3.1503773767947246E-2</v>
      </c>
      <c r="R61">
        <f>Returns!R61 - RiskFree!$C61</f>
        <v>-3.3826557720173767E-3</v>
      </c>
      <c r="S61">
        <f>Returns!S61 - RiskFree!$C61</f>
        <v>-4.8783750907770568E-2</v>
      </c>
      <c r="T61">
        <f>Returns!T61 - RiskFree!$C61</f>
        <v>-0.13124702111613887</v>
      </c>
      <c r="U61">
        <f>Returns!U61 - RiskFree!$C61</f>
        <v>-3.201598387627505E-2</v>
      </c>
      <c r="V61">
        <f>Returns!V61 - RiskFree!$C61</f>
        <v>-4.4479491915974251E-2</v>
      </c>
    </row>
    <row r="62" spans="1:22" x14ac:dyDescent="0.2">
      <c r="A62" t="s">
        <v>61</v>
      </c>
      <c r="B62">
        <f>Returns!B62 - RiskFree!$C62</f>
        <v>5.3618018882530524E-2</v>
      </c>
      <c r="C62">
        <f>Returns!C62 - RiskFree!$C62</f>
        <v>4.8021529718650965E-2</v>
      </c>
      <c r="D62">
        <f>Returns!D62 - RiskFree!$C62</f>
        <v>4.0509812561749278E-2</v>
      </c>
      <c r="E62">
        <f>Returns!E62 - RiskFree!$C62</f>
        <v>-1.6303715513845091E-2</v>
      </c>
      <c r="F62">
        <f>Returns!F62 - RiskFree!$C62</f>
        <v>3.7664754440016754E-2</v>
      </c>
      <c r="G62">
        <f>Returns!G62 - RiskFree!$C62</f>
        <v>8.1916446433395844E-3</v>
      </c>
      <c r="H62">
        <f>Returns!H62 - RiskFree!$C62</f>
        <v>-3.4022379999166089E-2</v>
      </c>
      <c r="I62">
        <f>Returns!I62 - RiskFree!$C62</f>
        <v>-7.7534923439340389E-2</v>
      </c>
      <c r="J62">
        <f>Returns!J62 - RiskFree!$C62</f>
        <v>7.7274862935391583E-2</v>
      </c>
      <c r="K62">
        <f>Returns!K62 - RiskFree!$C62</f>
        <v>-1.0323269495371507E-2</v>
      </c>
      <c r="L62">
        <f>Returns!L62 - RiskFree!$C62</f>
        <v>-0.10639584620918559</v>
      </c>
      <c r="M62">
        <f>Returns!M62 - RiskFree!$C62</f>
        <v>6.4211366101500182E-3</v>
      </c>
      <c r="N62">
        <f>Returns!N62 - RiskFree!$C62</f>
        <v>8.4409664919589719E-2</v>
      </c>
      <c r="O62">
        <f>Returns!O62 - RiskFree!$C62</f>
        <v>-1.4638235652121041E-2</v>
      </c>
      <c r="P62">
        <f>Returns!P62 - RiskFree!$C62</f>
        <v>9.2897649945927904E-2</v>
      </c>
      <c r="Q62">
        <f>Returns!Q62 - RiskFree!$C62</f>
        <v>5.6960320627951581E-3</v>
      </c>
      <c r="R62">
        <f>Returns!R62 - RiskFree!$C62</f>
        <v>0.11160636623748192</v>
      </c>
      <c r="S62">
        <f>Returns!S62 - RiskFree!$C62</f>
        <v>0.3777855479954641</v>
      </c>
      <c r="T62">
        <f>Returns!T62 - RiskFree!$C62</f>
        <v>1.7579469726435908E-2</v>
      </c>
      <c r="U62">
        <f>Returns!U62 - RiskFree!$C62</f>
        <v>8.6170634920634967E-2</v>
      </c>
      <c r="V62">
        <f>Returns!V62 - RiskFree!$C62</f>
        <v>9.6678015131285537E-3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22349-DBBD-D942-BABE-A9BD838CC1BB}">
  <dimension ref="A1:D74"/>
  <sheetViews>
    <sheetView zoomScale="118" workbookViewId="0">
      <selection activeCell="C13" sqref="C13"/>
    </sheetView>
  </sheetViews>
  <sheetFormatPr baseColWidth="10" defaultRowHeight="16" x14ac:dyDescent="0.2"/>
  <cols>
    <col min="1" max="1" width="16" customWidth="1"/>
    <col min="2" max="2" width="15.33203125" customWidth="1"/>
    <col min="4" max="4" width="10.83203125" style="2"/>
  </cols>
  <sheetData>
    <row r="1" spans="1:4" x14ac:dyDescent="0.2">
      <c r="A1" s="1" t="s">
        <v>84</v>
      </c>
      <c r="B1" s="1" t="s">
        <v>85</v>
      </c>
      <c r="C1" t="s">
        <v>86</v>
      </c>
      <c r="D1" s="2" t="s">
        <v>87</v>
      </c>
    </row>
    <row r="2" spans="1:4" x14ac:dyDescent="0.2">
      <c r="A2" s="3">
        <v>43770</v>
      </c>
      <c r="B2" s="4">
        <v>1.54</v>
      </c>
      <c r="C2">
        <f>(B2/100)/12</f>
        <v>1.2833333333333334E-3</v>
      </c>
      <c r="D2" s="2">
        <f t="shared" ref="D2:D33" si="0">EOMONTH(A2,0)</f>
        <v>43799</v>
      </c>
    </row>
    <row r="3" spans="1:4" x14ac:dyDescent="0.2">
      <c r="A3" s="3">
        <v>43800</v>
      </c>
      <c r="B3" s="4">
        <v>1.54</v>
      </c>
      <c r="C3">
        <f t="shared" ref="C3:C66" si="1">(B3/100)/12</f>
        <v>1.2833333333333334E-3</v>
      </c>
      <c r="D3" s="2">
        <f t="shared" si="0"/>
        <v>43830</v>
      </c>
    </row>
    <row r="4" spans="1:4" x14ac:dyDescent="0.2">
      <c r="A4" s="3">
        <v>43831</v>
      </c>
      <c r="B4" s="4">
        <v>1.52</v>
      </c>
      <c r="C4">
        <f t="shared" si="1"/>
        <v>1.2666666666666666E-3</v>
      </c>
      <c r="D4" s="2">
        <f t="shared" si="0"/>
        <v>43861</v>
      </c>
    </row>
    <row r="5" spans="1:4" x14ac:dyDescent="0.2">
      <c r="A5" s="3">
        <v>43862</v>
      </c>
      <c r="B5" s="4">
        <v>1.52</v>
      </c>
      <c r="C5">
        <f t="shared" si="1"/>
        <v>1.2666666666666666E-3</v>
      </c>
      <c r="D5" s="2">
        <f t="shared" si="0"/>
        <v>43890</v>
      </c>
    </row>
    <row r="6" spans="1:4" x14ac:dyDescent="0.2">
      <c r="A6" s="3">
        <v>43891</v>
      </c>
      <c r="B6" s="4">
        <v>0.28999999999999998</v>
      </c>
      <c r="C6">
        <f t="shared" si="1"/>
        <v>2.4166666666666664E-4</v>
      </c>
      <c r="D6" s="2">
        <f t="shared" si="0"/>
        <v>43921</v>
      </c>
    </row>
    <row r="7" spans="1:4" x14ac:dyDescent="0.2">
      <c r="A7" s="3">
        <v>43922</v>
      </c>
      <c r="B7" s="4">
        <v>0.14000000000000001</v>
      </c>
      <c r="C7">
        <f t="shared" si="1"/>
        <v>1.1666666666666668E-4</v>
      </c>
      <c r="D7" s="2">
        <f t="shared" si="0"/>
        <v>43951</v>
      </c>
    </row>
    <row r="8" spans="1:4" x14ac:dyDescent="0.2">
      <c r="A8" s="3">
        <v>43952</v>
      </c>
      <c r="B8" s="4">
        <v>0.13</v>
      </c>
      <c r="C8">
        <f t="shared" si="1"/>
        <v>1.0833333333333333E-4</v>
      </c>
      <c r="D8" s="2">
        <f t="shared" si="0"/>
        <v>43982</v>
      </c>
    </row>
    <row r="9" spans="1:4" x14ac:dyDescent="0.2">
      <c r="A9" s="3">
        <v>43983</v>
      </c>
      <c r="B9" s="4">
        <v>0.16</v>
      </c>
      <c r="C9">
        <f t="shared" si="1"/>
        <v>1.3333333333333334E-4</v>
      </c>
      <c r="D9" s="2">
        <f t="shared" si="0"/>
        <v>44012</v>
      </c>
    </row>
    <row r="10" spans="1:4" x14ac:dyDescent="0.2">
      <c r="A10" s="3">
        <v>44013</v>
      </c>
      <c r="B10" s="4">
        <v>0.13</v>
      </c>
      <c r="C10">
        <f t="shared" si="1"/>
        <v>1.0833333333333333E-4</v>
      </c>
      <c r="D10" s="2">
        <f t="shared" si="0"/>
        <v>44043</v>
      </c>
    </row>
    <row r="11" spans="1:4" x14ac:dyDescent="0.2">
      <c r="A11" s="3">
        <v>44044</v>
      </c>
      <c r="B11" s="4">
        <v>0.1</v>
      </c>
      <c r="C11">
        <f t="shared" si="1"/>
        <v>8.3333333333333331E-5</v>
      </c>
      <c r="D11" s="2">
        <f t="shared" si="0"/>
        <v>44074</v>
      </c>
    </row>
    <row r="12" spans="1:4" x14ac:dyDescent="0.2">
      <c r="A12" s="3">
        <v>44075</v>
      </c>
      <c r="B12" s="4">
        <v>0.11</v>
      </c>
      <c r="C12">
        <f t="shared" si="1"/>
        <v>9.1666666666666668E-5</v>
      </c>
      <c r="D12" s="2">
        <f t="shared" si="0"/>
        <v>44104</v>
      </c>
    </row>
    <row r="13" spans="1:4" x14ac:dyDescent="0.2">
      <c r="A13" s="3">
        <v>44105</v>
      </c>
      <c r="B13" s="4">
        <v>0.1</v>
      </c>
      <c r="C13">
        <f t="shared" si="1"/>
        <v>8.3333333333333331E-5</v>
      </c>
      <c r="D13" s="2">
        <f t="shared" si="0"/>
        <v>44135</v>
      </c>
    </row>
    <row r="14" spans="1:4" x14ac:dyDescent="0.2">
      <c r="A14" s="3">
        <v>44136</v>
      </c>
      <c r="B14" s="4">
        <v>0.09</v>
      </c>
      <c r="C14">
        <f t="shared" si="1"/>
        <v>7.4999999999999993E-5</v>
      </c>
      <c r="D14" s="2">
        <f t="shared" si="0"/>
        <v>44165</v>
      </c>
    </row>
    <row r="15" spans="1:4" x14ac:dyDescent="0.2">
      <c r="A15" s="3">
        <v>44166</v>
      </c>
      <c r="B15" s="4">
        <v>0.09</v>
      </c>
      <c r="C15">
        <f t="shared" si="1"/>
        <v>7.4999999999999993E-5</v>
      </c>
      <c r="D15" s="2">
        <f t="shared" si="0"/>
        <v>44196</v>
      </c>
    </row>
    <row r="16" spans="1:4" x14ac:dyDescent="0.2">
      <c r="A16" s="3">
        <v>44197</v>
      </c>
      <c r="B16" s="4">
        <v>0.08</v>
      </c>
      <c r="C16">
        <f t="shared" si="1"/>
        <v>6.666666666666667E-5</v>
      </c>
      <c r="D16" s="2">
        <f t="shared" si="0"/>
        <v>44227</v>
      </c>
    </row>
    <row r="17" spans="1:4" x14ac:dyDescent="0.2">
      <c r="A17" s="3">
        <v>44228</v>
      </c>
      <c r="B17" s="4">
        <v>0.04</v>
      </c>
      <c r="C17">
        <f t="shared" si="1"/>
        <v>3.3333333333333335E-5</v>
      </c>
      <c r="D17" s="2">
        <f t="shared" si="0"/>
        <v>44255</v>
      </c>
    </row>
    <row r="18" spans="1:4" x14ac:dyDescent="0.2">
      <c r="A18" s="3">
        <v>44256</v>
      </c>
      <c r="B18" s="4">
        <v>0.03</v>
      </c>
      <c r="C18">
        <f t="shared" si="1"/>
        <v>2.4999999999999998E-5</v>
      </c>
      <c r="D18" s="2">
        <f t="shared" si="0"/>
        <v>44286</v>
      </c>
    </row>
    <row r="19" spans="1:4" x14ac:dyDescent="0.2">
      <c r="A19" s="3">
        <v>44287</v>
      </c>
      <c r="B19" s="4">
        <v>0.02</v>
      </c>
      <c r="C19">
        <f t="shared" si="1"/>
        <v>1.6666666666666667E-5</v>
      </c>
      <c r="D19" s="2">
        <f t="shared" si="0"/>
        <v>44316</v>
      </c>
    </row>
    <row r="20" spans="1:4" x14ac:dyDescent="0.2">
      <c r="A20" s="3">
        <v>44317</v>
      </c>
      <c r="B20" s="4">
        <v>0.02</v>
      </c>
      <c r="C20">
        <f t="shared" si="1"/>
        <v>1.6666666666666667E-5</v>
      </c>
      <c r="D20" s="2">
        <f t="shared" si="0"/>
        <v>44347</v>
      </c>
    </row>
    <row r="21" spans="1:4" x14ac:dyDescent="0.2">
      <c r="A21" s="3">
        <v>44348</v>
      </c>
      <c r="B21" s="4">
        <v>0.04</v>
      </c>
      <c r="C21">
        <f t="shared" si="1"/>
        <v>3.3333333333333335E-5</v>
      </c>
      <c r="D21" s="2">
        <f t="shared" si="0"/>
        <v>44377</v>
      </c>
    </row>
    <row r="22" spans="1:4" x14ac:dyDescent="0.2">
      <c r="A22" s="3">
        <v>44378</v>
      </c>
      <c r="B22" s="4">
        <v>0.05</v>
      </c>
      <c r="C22">
        <f t="shared" si="1"/>
        <v>4.1666666666666665E-5</v>
      </c>
      <c r="D22" s="2">
        <f t="shared" si="0"/>
        <v>44408</v>
      </c>
    </row>
    <row r="23" spans="1:4" x14ac:dyDescent="0.2">
      <c r="A23" s="3">
        <v>44409</v>
      </c>
      <c r="B23" s="4">
        <v>0.05</v>
      </c>
      <c r="C23">
        <f t="shared" si="1"/>
        <v>4.1666666666666665E-5</v>
      </c>
      <c r="D23" s="2">
        <f t="shared" si="0"/>
        <v>44439</v>
      </c>
    </row>
    <row r="24" spans="1:4" x14ac:dyDescent="0.2">
      <c r="A24" s="3">
        <v>44440</v>
      </c>
      <c r="B24" s="4">
        <v>0.04</v>
      </c>
      <c r="C24">
        <f t="shared" si="1"/>
        <v>3.3333333333333335E-5</v>
      </c>
      <c r="D24" s="2">
        <f t="shared" si="0"/>
        <v>44469</v>
      </c>
    </row>
    <row r="25" spans="1:4" x14ac:dyDescent="0.2">
      <c r="A25" s="3">
        <v>44470</v>
      </c>
      <c r="B25" s="4">
        <v>0.05</v>
      </c>
      <c r="C25">
        <f t="shared" si="1"/>
        <v>4.1666666666666665E-5</v>
      </c>
      <c r="D25" s="2">
        <f t="shared" si="0"/>
        <v>44500</v>
      </c>
    </row>
    <row r="26" spans="1:4" x14ac:dyDescent="0.2">
      <c r="A26" s="3">
        <v>44501</v>
      </c>
      <c r="B26" s="4">
        <v>0.05</v>
      </c>
      <c r="C26">
        <f t="shared" si="1"/>
        <v>4.1666666666666665E-5</v>
      </c>
      <c r="D26" s="2">
        <f t="shared" si="0"/>
        <v>44530</v>
      </c>
    </row>
    <row r="27" spans="1:4" x14ac:dyDescent="0.2">
      <c r="A27" s="3">
        <v>44531</v>
      </c>
      <c r="B27" s="4">
        <v>0.06</v>
      </c>
      <c r="C27">
        <f t="shared" si="1"/>
        <v>4.9999999999999996E-5</v>
      </c>
      <c r="D27" s="2">
        <f t="shared" si="0"/>
        <v>44561</v>
      </c>
    </row>
    <row r="28" spans="1:4" x14ac:dyDescent="0.2">
      <c r="A28" s="3">
        <v>44562</v>
      </c>
      <c r="B28" s="4">
        <v>0.15</v>
      </c>
      <c r="C28">
        <f t="shared" si="1"/>
        <v>1.25E-4</v>
      </c>
      <c r="D28" s="2">
        <f t="shared" si="0"/>
        <v>44592</v>
      </c>
    </row>
    <row r="29" spans="1:4" x14ac:dyDescent="0.2">
      <c r="A29" s="3">
        <v>44593</v>
      </c>
      <c r="B29" s="4">
        <v>0.33</v>
      </c>
      <c r="C29">
        <f t="shared" si="1"/>
        <v>2.7500000000000002E-4</v>
      </c>
      <c r="D29" s="2">
        <f t="shared" si="0"/>
        <v>44620</v>
      </c>
    </row>
    <row r="30" spans="1:4" x14ac:dyDescent="0.2">
      <c r="A30" s="3">
        <v>44621</v>
      </c>
      <c r="B30" s="4">
        <v>0.44</v>
      </c>
      <c r="C30">
        <f t="shared" si="1"/>
        <v>3.6666666666666667E-4</v>
      </c>
      <c r="D30" s="2">
        <f t="shared" si="0"/>
        <v>44651</v>
      </c>
    </row>
    <row r="31" spans="1:4" x14ac:dyDescent="0.2">
      <c r="A31" s="3">
        <v>44652</v>
      </c>
      <c r="B31" s="4">
        <v>0.76</v>
      </c>
      <c r="C31">
        <f t="shared" si="1"/>
        <v>6.333333333333333E-4</v>
      </c>
      <c r="D31" s="2">
        <f t="shared" si="0"/>
        <v>44681</v>
      </c>
    </row>
    <row r="32" spans="1:4" x14ac:dyDescent="0.2">
      <c r="A32" s="3">
        <v>44682</v>
      </c>
      <c r="B32" s="4">
        <v>0.98</v>
      </c>
      <c r="C32">
        <f t="shared" si="1"/>
        <v>8.166666666666666E-4</v>
      </c>
      <c r="D32" s="2">
        <f t="shared" si="0"/>
        <v>44712</v>
      </c>
    </row>
    <row r="33" spans="1:4" x14ac:dyDescent="0.2">
      <c r="A33" s="3">
        <v>44713</v>
      </c>
      <c r="B33" s="4">
        <v>1.49</v>
      </c>
      <c r="C33">
        <f t="shared" si="1"/>
        <v>1.2416666666666667E-3</v>
      </c>
      <c r="D33" s="2">
        <f t="shared" si="0"/>
        <v>44742</v>
      </c>
    </row>
    <row r="34" spans="1:4" x14ac:dyDescent="0.2">
      <c r="A34" s="3">
        <v>44743</v>
      </c>
      <c r="B34" s="4">
        <v>2.23</v>
      </c>
      <c r="C34">
        <f t="shared" si="1"/>
        <v>1.8583333333333334E-3</v>
      </c>
      <c r="D34" s="2">
        <f t="shared" ref="D34:D65" si="2">EOMONTH(A34,0)</f>
        <v>44773</v>
      </c>
    </row>
    <row r="35" spans="1:4" x14ac:dyDescent="0.2">
      <c r="A35" s="3">
        <v>44774</v>
      </c>
      <c r="B35" s="4">
        <v>2.63</v>
      </c>
      <c r="C35">
        <f t="shared" si="1"/>
        <v>2.1916666666666668E-3</v>
      </c>
      <c r="D35" s="2">
        <f t="shared" si="2"/>
        <v>44804</v>
      </c>
    </row>
    <row r="36" spans="1:4" x14ac:dyDescent="0.2">
      <c r="A36" s="3">
        <v>44805</v>
      </c>
      <c r="B36" s="4">
        <v>3.13</v>
      </c>
      <c r="C36">
        <f t="shared" si="1"/>
        <v>2.6083333333333336E-3</v>
      </c>
      <c r="D36" s="2">
        <f t="shared" si="2"/>
        <v>44834</v>
      </c>
    </row>
    <row r="37" spans="1:4" x14ac:dyDescent="0.2">
      <c r="A37" s="3">
        <v>44835</v>
      </c>
      <c r="B37" s="4">
        <v>3.72</v>
      </c>
      <c r="C37">
        <f t="shared" si="1"/>
        <v>3.1000000000000003E-3</v>
      </c>
      <c r="D37" s="2">
        <f t="shared" si="2"/>
        <v>44865</v>
      </c>
    </row>
    <row r="38" spans="1:4" x14ac:dyDescent="0.2">
      <c r="A38" s="3">
        <v>44866</v>
      </c>
      <c r="B38" s="4">
        <v>4.1500000000000004</v>
      </c>
      <c r="C38">
        <f t="shared" si="1"/>
        <v>3.4583333333333337E-3</v>
      </c>
      <c r="D38" s="2">
        <f t="shared" si="2"/>
        <v>44895</v>
      </c>
    </row>
    <row r="39" spans="1:4" x14ac:dyDescent="0.2">
      <c r="A39" s="3">
        <v>44896</v>
      </c>
      <c r="B39" s="4">
        <v>4.25</v>
      </c>
      <c r="C39">
        <f t="shared" si="1"/>
        <v>3.5416666666666669E-3</v>
      </c>
      <c r="D39" s="2">
        <f t="shared" si="2"/>
        <v>44926</v>
      </c>
    </row>
    <row r="40" spans="1:4" x14ac:dyDescent="0.2">
      <c r="A40" s="3">
        <v>44927</v>
      </c>
      <c r="B40" s="4">
        <v>4.54</v>
      </c>
      <c r="C40">
        <f t="shared" si="1"/>
        <v>3.7833333333333334E-3</v>
      </c>
      <c r="D40" s="2">
        <f t="shared" si="2"/>
        <v>44957</v>
      </c>
    </row>
    <row r="41" spans="1:4" x14ac:dyDescent="0.2">
      <c r="A41" s="3">
        <v>44958</v>
      </c>
      <c r="B41" s="4">
        <v>4.6500000000000004</v>
      </c>
      <c r="C41">
        <f t="shared" si="1"/>
        <v>3.8750000000000004E-3</v>
      </c>
      <c r="D41" s="2">
        <f t="shared" si="2"/>
        <v>44985</v>
      </c>
    </row>
    <row r="42" spans="1:4" x14ac:dyDescent="0.2">
      <c r="A42" s="3">
        <v>44986</v>
      </c>
      <c r="B42" s="4">
        <v>4.6900000000000004</v>
      </c>
      <c r="C42">
        <f t="shared" si="1"/>
        <v>3.908333333333334E-3</v>
      </c>
      <c r="D42" s="2">
        <f t="shared" si="2"/>
        <v>45016</v>
      </c>
    </row>
    <row r="43" spans="1:4" x14ac:dyDescent="0.2">
      <c r="A43" s="3">
        <v>45017</v>
      </c>
      <c r="B43" s="4">
        <v>4.92</v>
      </c>
      <c r="C43">
        <f t="shared" si="1"/>
        <v>4.1000000000000003E-3</v>
      </c>
      <c r="D43" s="2">
        <f t="shared" si="2"/>
        <v>45046</v>
      </c>
    </row>
    <row r="44" spans="1:4" x14ac:dyDescent="0.2">
      <c r="A44" s="3">
        <v>45047</v>
      </c>
      <c r="B44" s="4">
        <v>5.14</v>
      </c>
      <c r="C44">
        <f t="shared" si="1"/>
        <v>4.2833333333333326E-3</v>
      </c>
      <c r="D44" s="2">
        <f t="shared" si="2"/>
        <v>45077</v>
      </c>
    </row>
    <row r="45" spans="1:4" x14ac:dyDescent="0.2">
      <c r="A45" s="3">
        <v>45078</v>
      </c>
      <c r="B45" s="4">
        <v>5.16</v>
      </c>
      <c r="C45">
        <f t="shared" si="1"/>
        <v>4.3E-3</v>
      </c>
      <c r="D45" s="2">
        <f t="shared" si="2"/>
        <v>45107</v>
      </c>
    </row>
    <row r="46" spans="1:4" x14ac:dyDescent="0.2">
      <c r="A46" s="3">
        <v>45108</v>
      </c>
      <c r="B46" s="4">
        <v>5.25</v>
      </c>
      <c r="C46">
        <f t="shared" si="1"/>
        <v>4.3749999999999995E-3</v>
      </c>
      <c r="D46" s="2">
        <f t="shared" si="2"/>
        <v>45138</v>
      </c>
    </row>
    <row r="47" spans="1:4" x14ac:dyDescent="0.2">
      <c r="A47" s="3">
        <v>45139</v>
      </c>
      <c r="B47" s="4">
        <v>5.3</v>
      </c>
      <c r="C47">
        <f t="shared" si="1"/>
        <v>4.4166666666666668E-3</v>
      </c>
      <c r="D47" s="2">
        <f t="shared" si="2"/>
        <v>45169</v>
      </c>
    </row>
    <row r="48" spans="1:4" x14ac:dyDescent="0.2">
      <c r="A48" s="3">
        <v>45170</v>
      </c>
      <c r="B48" s="4">
        <v>5.32</v>
      </c>
      <c r="C48">
        <f t="shared" si="1"/>
        <v>4.4333333333333334E-3</v>
      </c>
      <c r="D48" s="2">
        <f t="shared" si="2"/>
        <v>45199</v>
      </c>
    </row>
    <row r="49" spans="1:4" x14ac:dyDescent="0.2">
      <c r="A49" s="3">
        <v>45200</v>
      </c>
      <c r="B49" s="4">
        <v>5.34</v>
      </c>
      <c r="C49">
        <f t="shared" si="1"/>
        <v>4.45E-3</v>
      </c>
      <c r="D49" s="2">
        <f t="shared" si="2"/>
        <v>45230</v>
      </c>
    </row>
    <row r="50" spans="1:4" x14ac:dyDescent="0.2">
      <c r="A50" s="3">
        <v>45231</v>
      </c>
      <c r="B50" s="4">
        <v>5.27</v>
      </c>
      <c r="C50">
        <f t="shared" si="1"/>
        <v>4.3916666666666661E-3</v>
      </c>
      <c r="D50" s="2">
        <f t="shared" si="2"/>
        <v>45260</v>
      </c>
    </row>
    <row r="51" spans="1:4" x14ac:dyDescent="0.2">
      <c r="A51" s="3">
        <v>45261</v>
      </c>
      <c r="B51" s="4">
        <v>5.24</v>
      </c>
      <c r="C51">
        <f t="shared" si="1"/>
        <v>4.3666666666666671E-3</v>
      </c>
      <c r="D51" s="2">
        <f t="shared" si="2"/>
        <v>45291</v>
      </c>
    </row>
    <row r="52" spans="1:4" x14ac:dyDescent="0.2">
      <c r="A52" s="3">
        <v>45292</v>
      </c>
      <c r="B52" s="4">
        <v>5.22</v>
      </c>
      <c r="C52">
        <f t="shared" si="1"/>
        <v>4.3499999999999997E-3</v>
      </c>
      <c r="D52" s="2">
        <f t="shared" si="2"/>
        <v>45322</v>
      </c>
    </row>
    <row r="53" spans="1:4" x14ac:dyDescent="0.2">
      <c r="A53" s="3">
        <v>45323</v>
      </c>
      <c r="B53" s="4">
        <v>5.24</v>
      </c>
      <c r="C53">
        <f t="shared" si="1"/>
        <v>4.3666666666666671E-3</v>
      </c>
      <c r="D53" s="2">
        <f t="shared" si="2"/>
        <v>45351</v>
      </c>
    </row>
    <row r="54" spans="1:4" x14ac:dyDescent="0.2">
      <c r="A54" s="3">
        <v>45352</v>
      </c>
      <c r="B54" s="4">
        <v>5.24</v>
      </c>
      <c r="C54">
        <f t="shared" si="1"/>
        <v>4.3666666666666671E-3</v>
      </c>
      <c r="D54" s="2">
        <f t="shared" si="2"/>
        <v>45382</v>
      </c>
    </row>
    <row r="55" spans="1:4" x14ac:dyDescent="0.2">
      <c r="A55" s="3">
        <v>45383</v>
      </c>
      <c r="B55" s="4">
        <v>5.24</v>
      </c>
      <c r="C55">
        <f t="shared" si="1"/>
        <v>4.3666666666666671E-3</v>
      </c>
      <c r="D55" s="2">
        <f t="shared" si="2"/>
        <v>45412</v>
      </c>
    </row>
    <row r="56" spans="1:4" x14ac:dyDescent="0.2">
      <c r="A56" s="3">
        <v>45413</v>
      </c>
      <c r="B56" s="4">
        <v>5.25</v>
      </c>
      <c r="C56">
        <f t="shared" si="1"/>
        <v>4.3749999999999995E-3</v>
      </c>
      <c r="D56" s="2">
        <f t="shared" si="2"/>
        <v>45443</v>
      </c>
    </row>
    <row r="57" spans="1:4" x14ac:dyDescent="0.2">
      <c r="A57" s="3">
        <v>45444</v>
      </c>
      <c r="B57" s="4">
        <v>5.24</v>
      </c>
      <c r="C57">
        <f t="shared" si="1"/>
        <v>4.3666666666666671E-3</v>
      </c>
      <c r="D57" s="2">
        <f t="shared" si="2"/>
        <v>45473</v>
      </c>
    </row>
    <row r="58" spans="1:4" x14ac:dyDescent="0.2">
      <c r="A58" s="3">
        <v>45474</v>
      </c>
      <c r="B58" s="4">
        <v>5.2</v>
      </c>
      <c r="C58">
        <f t="shared" si="1"/>
        <v>4.333333333333334E-3</v>
      </c>
      <c r="D58" s="2">
        <f t="shared" si="2"/>
        <v>45504</v>
      </c>
    </row>
    <row r="59" spans="1:4" x14ac:dyDescent="0.2">
      <c r="A59" s="3">
        <v>45505</v>
      </c>
      <c r="B59" s="4">
        <v>5.05</v>
      </c>
      <c r="C59">
        <f t="shared" si="1"/>
        <v>4.208333333333333E-3</v>
      </c>
      <c r="D59" s="2">
        <f t="shared" si="2"/>
        <v>45535</v>
      </c>
    </row>
    <row r="60" spans="1:4" x14ac:dyDescent="0.2">
      <c r="A60" s="3">
        <v>45536</v>
      </c>
      <c r="B60" s="4">
        <v>4.72</v>
      </c>
      <c r="C60">
        <f t="shared" si="1"/>
        <v>3.933333333333333E-3</v>
      </c>
      <c r="D60" s="2">
        <f t="shared" si="2"/>
        <v>45565</v>
      </c>
    </row>
    <row r="61" spans="1:4" x14ac:dyDescent="0.2">
      <c r="A61" s="3">
        <v>45566</v>
      </c>
      <c r="B61" s="4">
        <v>4.51</v>
      </c>
      <c r="C61">
        <f t="shared" si="1"/>
        <v>3.7583333333333336E-3</v>
      </c>
      <c r="D61" s="2">
        <f t="shared" si="2"/>
        <v>45596</v>
      </c>
    </row>
    <row r="62" spans="1:4" x14ac:dyDescent="0.2">
      <c r="A62" s="3">
        <v>45597</v>
      </c>
      <c r="B62" s="4">
        <v>4.42</v>
      </c>
      <c r="C62">
        <f t="shared" si="1"/>
        <v>3.6833333333333332E-3</v>
      </c>
      <c r="D62" s="2">
        <f t="shared" si="2"/>
        <v>45626</v>
      </c>
    </row>
    <row r="63" spans="1:4" x14ac:dyDescent="0.2">
      <c r="A63" s="3">
        <v>45627</v>
      </c>
      <c r="B63" s="4">
        <v>4.2699999999999996</v>
      </c>
      <c r="C63">
        <f t="shared" si="1"/>
        <v>3.5583333333333331E-3</v>
      </c>
      <c r="D63" s="2">
        <f t="shared" si="2"/>
        <v>45657</v>
      </c>
    </row>
    <row r="64" spans="1:4" x14ac:dyDescent="0.2">
      <c r="A64" s="3">
        <v>45658</v>
      </c>
      <c r="B64" s="4">
        <v>4.21</v>
      </c>
      <c r="C64">
        <f t="shared" si="1"/>
        <v>3.5083333333333334E-3</v>
      </c>
      <c r="D64" s="2">
        <f t="shared" si="2"/>
        <v>45688</v>
      </c>
    </row>
    <row r="65" spans="1:4" x14ac:dyDescent="0.2">
      <c r="A65" s="3">
        <v>45689</v>
      </c>
      <c r="B65" s="4">
        <v>4.22</v>
      </c>
      <c r="C65">
        <f t="shared" si="1"/>
        <v>3.5166666666666662E-3</v>
      </c>
      <c r="D65" s="2">
        <f t="shared" si="2"/>
        <v>45716</v>
      </c>
    </row>
    <row r="66" spans="1:4" x14ac:dyDescent="0.2">
      <c r="A66" s="3">
        <v>45717</v>
      </c>
      <c r="B66" s="4">
        <v>4.2</v>
      </c>
      <c r="C66">
        <f t="shared" si="1"/>
        <v>3.5000000000000001E-3</v>
      </c>
      <c r="D66" s="2">
        <f t="shared" ref="D66:D74" si="3">EOMONTH(A66,0)</f>
        <v>45747</v>
      </c>
    </row>
    <row r="67" spans="1:4" x14ac:dyDescent="0.2">
      <c r="A67" s="3">
        <v>45748</v>
      </c>
      <c r="B67" s="4">
        <v>4.21</v>
      </c>
      <c r="C67">
        <f t="shared" ref="C67:C74" si="4">(B67/100)/12</f>
        <v>3.5083333333333334E-3</v>
      </c>
      <c r="D67" s="2">
        <f t="shared" si="3"/>
        <v>45777</v>
      </c>
    </row>
    <row r="68" spans="1:4" x14ac:dyDescent="0.2">
      <c r="A68" s="3">
        <v>45778</v>
      </c>
      <c r="B68" s="4">
        <v>4.25</v>
      </c>
      <c r="C68">
        <f t="shared" si="4"/>
        <v>3.5416666666666669E-3</v>
      </c>
      <c r="D68" s="2">
        <f t="shared" si="3"/>
        <v>45808</v>
      </c>
    </row>
    <row r="69" spans="1:4" x14ac:dyDescent="0.2">
      <c r="A69" s="3">
        <v>45809</v>
      </c>
      <c r="B69" s="4">
        <v>4.2300000000000004</v>
      </c>
      <c r="C69">
        <f t="shared" si="4"/>
        <v>3.5250000000000004E-3</v>
      </c>
      <c r="D69" s="2">
        <f t="shared" si="3"/>
        <v>45838</v>
      </c>
    </row>
    <row r="70" spans="1:4" x14ac:dyDescent="0.2">
      <c r="A70" s="3">
        <v>45839</v>
      </c>
      <c r="B70" s="4">
        <v>4.25</v>
      </c>
      <c r="C70">
        <f t="shared" si="4"/>
        <v>3.5416666666666669E-3</v>
      </c>
      <c r="D70" s="2">
        <f t="shared" si="3"/>
        <v>45869</v>
      </c>
    </row>
    <row r="71" spans="1:4" x14ac:dyDescent="0.2">
      <c r="A71" s="3">
        <v>45870</v>
      </c>
      <c r="B71" s="4">
        <v>4.12</v>
      </c>
      <c r="C71">
        <f t="shared" si="4"/>
        <v>3.4333333333333334E-3</v>
      </c>
      <c r="D71" s="2">
        <f t="shared" si="3"/>
        <v>45900</v>
      </c>
    </row>
    <row r="72" spans="1:4" x14ac:dyDescent="0.2">
      <c r="A72" s="3">
        <v>45901</v>
      </c>
      <c r="B72" s="4">
        <v>3.92</v>
      </c>
      <c r="C72">
        <f t="shared" si="4"/>
        <v>3.2666666666666664E-3</v>
      </c>
      <c r="D72" s="2">
        <f t="shared" si="3"/>
        <v>45930</v>
      </c>
    </row>
    <row r="73" spans="1:4" x14ac:dyDescent="0.2">
      <c r="A73" s="3">
        <v>45931</v>
      </c>
      <c r="B73" s="4">
        <v>3.82</v>
      </c>
      <c r="C73">
        <f t="shared" si="4"/>
        <v>3.1833333333333332E-3</v>
      </c>
      <c r="D73" s="2">
        <f t="shared" si="3"/>
        <v>45961</v>
      </c>
    </row>
    <row r="74" spans="1:4" x14ac:dyDescent="0.2">
      <c r="A74" s="3">
        <v>45962</v>
      </c>
      <c r="B74" s="4">
        <v>3.78</v>
      </c>
      <c r="C74">
        <f t="shared" si="4"/>
        <v>3.15E-3</v>
      </c>
      <c r="D74" s="2">
        <f t="shared" si="3"/>
        <v>45991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D415C6-16DB-AC46-A357-5FB04CB3C735}">
  <dimension ref="A1:AB38"/>
  <sheetViews>
    <sheetView topLeftCell="D1" zoomScale="75" workbookViewId="0">
      <selection activeCell="D21" sqref="D21"/>
    </sheetView>
  </sheetViews>
  <sheetFormatPr baseColWidth="10" defaultRowHeight="16" x14ac:dyDescent="0.2"/>
  <cols>
    <col min="1" max="1" width="22.1640625" customWidth="1"/>
    <col min="2" max="2" width="21.33203125" customWidth="1"/>
    <col min="3" max="6" width="21.83203125" customWidth="1"/>
    <col min="7" max="7" width="21.33203125" customWidth="1"/>
    <col min="8" max="8" width="30.1640625" customWidth="1"/>
    <col min="9" max="10" width="11" bestFit="1" customWidth="1"/>
    <col min="11" max="12" width="14.33203125" bestFit="1" customWidth="1"/>
    <col min="13" max="13" width="11" bestFit="1" customWidth="1"/>
    <col min="14" max="14" width="14.33203125" bestFit="1" customWidth="1"/>
    <col min="15" max="15" width="11" bestFit="1" customWidth="1"/>
    <col min="16" max="16" width="13.33203125" bestFit="1" customWidth="1"/>
    <col min="17" max="22" width="11" bestFit="1" customWidth="1"/>
    <col min="23" max="23" width="15.1640625" bestFit="1" customWidth="1"/>
    <col min="24" max="24" width="11" bestFit="1" customWidth="1"/>
    <col min="25" max="25" width="13.33203125" bestFit="1" customWidth="1"/>
    <col min="26" max="28" width="11" bestFit="1" customWidth="1"/>
  </cols>
  <sheetData>
    <row r="1" spans="1:28" x14ac:dyDescent="0.2">
      <c r="A1" t="s">
        <v>88</v>
      </c>
      <c r="B1" t="s">
        <v>89</v>
      </c>
      <c r="C1" t="s">
        <v>90</v>
      </c>
      <c r="E1" t="s">
        <v>125</v>
      </c>
    </row>
    <row r="2" spans="1:28" x14ac:dyDescent="0.2">
      <c r="A2" t="s">
        <v>62</v>
      </c>
      <c r="B2">
        <f>AVERAGE(Excess_Returns!B$2:B$62)</f>
        <v>1.0249799148192264E-2</v>
      </c>
      <c r="C2">
        <f>_xlfn.STDEV.S(Excess_Returns!B2:B62)</f>
        <v>5.2265948128735411E-2</v>
      </c>
      <c r="H2" t="s">
        <v>134</v>
      </c>
      <c r="I2" t="str" cm="1">
        <f t="array" ref="I2">INDEX($A$3:$A$22, COLUMNS($I$2:I2))</f>
        <v>AAPL.US</v>
      </c>
      <c r="J2" t="str" cm="1">
        <f t="array" ref="J2">INDEX($A$3:$A$22, COLUMNS($I$2:J2))</f>
        <v>MSFT.US</v>
      </c>
      <c r="K2" t="str" cm="1">
        <f t="array" ref="K2">INDEX($A$3:$A$22, COLUMNS($I$2:K2))</f>
        <v>GOOGL.US</v>
      </c>
      <c r="L2" t="str" cm="1">
        <f t="array" ref="L2">INDEX($A$3:$A$22, COLUMNS($I$2:L2))</f>
        <v>NVDA.US</v>
      </c>
      <c r="M2" t="str" cm="1">
        <f t="array" ref="M2">INDEX($A$3:$A$22, COLUMNS($I$2:M2))</f>
        <v>META.US</v>
      </c>
      <c r="N2" t="str" cm="1">
        <f t="array" ref="N2">INDEX($A$3:$A$22, COLUMNS($I$2:N2))</f>
        <v>JNJ.US</v>
      </c>
      <c r="O2" t="str" cm="1">
        <f t="array" ref="O2">INDEX($A$3:$A$22, COLUMNS($I$2:O2))</f>
        <v>PFE.US</v>
      </c>
      <c r="P2" t="str" cm="1">
        <f t="array" ref="P2">INDEX($A$3:$A$22, COLUMNS($I$2:P2))</f>
        <v>UNH.US</v>
      </c>
      <c r="Q2" t="str" cm="1">
        <f t="array" ref="Q2">INDEX($A$3:$A$22, COLUMNS($I$2:Q2))</f>
        <v>MRK.US</v>
      </c>
      <c r="R2" t="str" cm="1">
        <f t="array" ref="R2">INDEX($A$3:$A$22, COLUMNS($I$2:R2))</f>
        <v>ABBV.US</v>
      </c>
      <c r="S2" t="str" cm="1">
        <f t="array" ref="S2">INDEX($A$3:$A$22, COLUMNS($I$2:S2))</f>
        <v>XOM.US</v>
      </c>
      <c r="T2" t="str" cm="1">
        <f t="array" ref="T2">INDEX($A$3:$A$22, COLUMNS($I$2:T2))</f>
        <v>CVX.US</v>
      </c>
      <c r="U2" t="str" cm="1">
        <f t="array" ref="U2">INDEX($A$3:$A$22, COLUMNS($I$2:U2))</f>
        <v>COP.US</v>
      </c>
      <c r="V2" t="str" cm="1">
        <f t="array" ref="V2">INDEX($A$3:$A$22, COLUMNS($I$2:V2))</f>
        <v>SLB.US</v>
      </c>
      <c r="W2" t="str" cm="1">
        <f t="array" ref="W2">INDEX($A$3:$A$22, COLUMNS($I$2:W2))</f>
        <v>OXY.US</v>
      </c>
      <c r="X2" t="str" cm="1">
        <f t="array" ref="X2">INDEX($A$3:$A$22, COLUMNS($I$2:X2))</f>
        <v>AMZN.US</v>
      </c>
      <c r="Y2" t="str" cm="1">
        <f t="array" ref="Y2">INDEX($A$3:$A$22, COLUMNS($I$2:Y2))</f>
        <v>TSLA.US</v>
      </c>
      <c r="Z2" t="str" cm="1">
        <f t="array" ref="Z2">INDEX($A$3:$A$22, COLUMNS($I$2:Z2))</f>
        <v>NKE.US</v>
      </c>
      <c r="AA2" t="str" cm="1">
        <f t="array" ref="AA2">INDEX($A$3:$A$22, COLUMNS($I$2:AA2))</f>
        <v>HD.US</v>
      </c>
      <c r="AB2" t="str" cm="1">
        <f t="array" ref="AB2">INDEX($A$3:$A$22, COLUMNS($I$2:AB2))</f>
        <v>MCD.US</v>
      </c>
    </row>
    <row r="3" spans="1:28" x14ac:dyDescent="0.2">
      <c r="A3" t="s">
        <v>63</v>
      </c>
      <c r="B3">
        <f>AVERAGE(Excess_Returns!C$2:C$62)</f>
        <v>2.3225347217397125E-2</v>
      </c>
      <c r="C3">
        <f>_xlfn.STDEV.S(Excess_Returns!C2:C62)</f>
        <v>8.4189723552715034E-2</v>
      </c>
      <c r="E3">
        <f>SLOPE(Excess_Returns!$C$3:$C$62,Excess_Returns!$B$3:$B$62)</f>
        <v>1.236533851994768</v>
      </c>
      <c r="H3" t="str" cm="1">
        <f t="array" ref="H3">INDEX($A$3:$A$22, ROWS($H$3:H3))</f>
        <v>AAPL.US</v>
      </c>
      <c r="I3">
        <f>_xlfn.COVARIANCE.S(
  INDEX(Excess_Returns!$C$3:$V$62,0,MATCH($H3,Excess_Returns!$C$1:$V$1,0)),
  INDEX(Excess_Returns!$C$3:$V$62,0,MATCH(I$2,Excess_Returns!$C$1:$V$1,0))
)</f>
        <v>7.0879095518825777E-3</v>
      </c>
      <c r="J3">
        <f>_xlfn.COVARIANCE.S(
  INDEX(Excess_Returns!$C$3:$V$62,0,MATCH($H3,Excess_Returns!$C$1:$V$1,0)),
  INDEX(Excess_Returns!$C$3:$V$62,0,MATCH(J$2,Excess_Returns!$C$1:$V$1,0))
)</f>
        <v>3.7824465537677722E-3</v>
      </c>
      <c r="K3">
        <f>_xlfn.COVARIANCE.S(
  INDEX(Excess_Returns!$C$3:$V$62,0,MATCH($H3,Excess_Returns!$C$1:$V$1,0)),
  INDEX(Excess_Returns!$C$3:$V$62,0,MATCH(K$2,Excess_Returns!$C$1:$V$1,0))
)</f>
        <v>3.4386396440457237E-3</v>
      </c>
      <c r="L3">
        <f>_xlfn.COVARIANCE.S(
  INDEX(Excess_Returns!$C$3:$V$62,0,MATCH($H3,Excess_Returns!$C$1:$V$1,0)),
  INDEX(Excess_Returns!$C$3:$V$62,0,MATCH(L$2,Excess_Returns!$C$1:$V$1,0))
)</f>
        <v>6.3503387986278276E-3</v>
      </c>
      <c r="M3">
        <f>_xlfn.COVARIANCE.S(
  INDEX(Excess_Returns!$C$3:$V$62,0,MATCH($H3,Excess_Returns!$C$1:$V$1,0)),
  INDEX(Excess_Returns!$C$3:$V$62,0,MATCH(M$2,Excess_Returns!$C$1:$V$1,0))
)</f>
        <v>3.9354667142365842E-3</v>
      </c>
      <c r="N3">
        <f>_xlfn.COVARIANCE.S(
  INDEX(Excess_Returns!$C$3:$V$62,0,MATCH($H3,Excess_Returns!$C$1:$V$1,0)),
  INDEX(Excess_Returns!$C$3:$V$62,0,MATCH(N$2,Excess_Returns!$C$1:$V$1,0))
)</f>
        <v>1.7537673707754581E-3</v>
      </c>
      <c r="O3">
        <f>_xlfn.COVARIANCE.S(
  INDEX(Excess_Returns!$C$3:$V$62,0,MATCH($H3,Excess_Returns!$C$1:$V$1,0)),
  INDEX(Excess_Returns!$C$3:$V$62,0,MATCH(O$2,Excess_Returns!$C$1:$V$1,0))
)</f>
        <v>2.2923077829861784E-3</v>
      </c>
      <c r="P3">
        <f>_xlfn.COVARIANCE.S(
  INDEX(Excess_Returns!$C$3:$V$62,0,MATCH($H3,Excess_Returns!$C$1:$V$1,0)),
  INDEX(Excess_Returns!$C$3:$V$62,0,MATCH(P$2,Excess_Returns!$C$1:$V$1,0))
)</f>
        <v>1.9319126602852399E-3</v>
      </c>
      <c r="Q3">
        <f>_xlfn.COVARIANCE.S(
  INDEX(Excess_Returns!$C$3:$V$62,0,MATCH($H3,Excess_Returns!$C$1:$V$1,0)),
  INDEX(Excess_Returns!$C$3:$V$62,0,MATCH(Q$2,Excess_Returns!$C$1:$V$1,0))
)</f>
        <v>7.1925051069600572E-4</v>
      </c>
      <c r="R3">
        <f>_xlfn.COVARIANCE.S(
  INDEX(Excess_Returns!$C$3:$V$62,0,MATCH($H3,Excess_Returns!$C$1:$V$1,0)),
  INDEX(Excess_Returns!$C$3:$V$62,0,MATCH(R$2,Excess_Returns!$C$1:$V$1,0))
)</f>
        <v>1.1202053262557264E-3</v>
      </c>
      <c r="S3">
        <f>_xlfn.COVARIANCE.S(
  INDEX(Excess_Returns!$C$3:$V$62,0,MATCH($H3,Excess_Returns!$C$1:$V$1,0)),
  INDEX(Excess_Returns!$C$3:$V$62,0,MATCH(S$2,Excess_Returns!$C$1:$V$1,0))
)</f>
        <v>1.6164835700382487E-3</v>
      </c>
      <c r="T3">
        <f>_xlfn.COVARIANCE.S(
  INDEX(Excess_Returns!$C$3:$V$62,0,MATCH($H3,Excess_Returns!$C$1:$V$1,0)),
  INDEX(Excess_Returns!$C$3:$V$62,0,MATCH(T$2,Excess_Returns!$C$1:$V$1,0))
)</f>
        <v>2.3204323598445837E-3</v>
      </c>
      <c r="U3">
        <f>_xlfn.COVARIANCE.S(
  INDEX(Excess_Returns!$C$3:$V$62,0,MATCH($H3,Excess_Returns!$C$1:$V$1,0)),
  INDEX(Excess_Returns!$C$3:$V$62,0,MATCH(U$2,Excess_Returns!$C$1:$V$1,0))
)</f>
        <v>2.0020091897905126E-3</v>
      </c>
      <c r="V3">
        <f>_xlfn.COVARIANCE.S(
  INDEX(Excess_Returns!$C$3:$V$62,0,MATCH($H3,Excess_Returns!$C$1:$V$1,0)),
  INDEX(Excess_Returns!$C$3:$V$62,0,MATCH(V$2,Excess_Returns!$C$1:$V$1,0))
)</f>
        <v>3.140223505816977E-3</v>
      </c>
      <c r="W3">
        <f>_xlfn.COVARIANCE.S(
  INDEX(Excess_Returns!$C$3:$V$62,0,MATCH($H3,Excess_Returns!$C$1:$V$1,0)),
  INDEX(Excess_Returns!$C$3:$V$62,0,MATCH(W$2,Excess_Returns!$C$1:$V$1,0))
)</f>
        <v>3.6315055008487819E-3</v>
      </c>
      <c r="X3">
        <f>_xlfn.COVARIANCE.S(
  INDEX(Excess_Returns!$C$3:$V$62,0,MATCH($H3,Excess_Returns!$C$1:$V$1,0)),
  INDEX(Excess_Returns!$C$3:$V$62,0,MATCH(X$2,Excess_Returns!$C$1:$V$1,0))
)</f>
        <v>5.4614165259010989E-3</v>
      </c>
      <c r="Y3">
        <f>_xlfn.COVARIANCE.S(
  INDEX(Excess_Returns!$C$3:$V$62,0,MATCH($H3,Excess_Returns!$C$1:$V$1,0)),
  INDEX(Excess_Returns!$C$3:$V$62,0,MATCH(Y$2,Excess_Returns!$C$1:$V$1,0))
)</f>
        <v>1.3124231706483996E-2</v>
      </c>
      <c r="Z3">
        <f>_xlfn.COVARIANCE.S(
  INDEX(Excess_Returns!$C$3:$V$62,0,MATCH($H3,Excess_Returns!$C$1:$V$1,0)),
  INDEX(Excess_Returns!$C$3:$V$62,0,MATCH(Z$2,Excess_Returns!$C$1:$V$1,0))
)</f>
        <v>3.5836588217337934E-3</v>
      </c>
      <c r="AA3">
        <f>_xlfn.COVARIANCE.S(
  INDEX(Excess_Returns!$C$3:$V$62,0,MATCH($H3,Excess_Returns!$C$1:$V$1,0)),
  INDEX(Excess_Returns!$C$3:$V$62,0,MATCH(AA$2,Excess_Returns!$C$1:$V$1,0))
)</f>
        <v>3.1186885719661768E-3</v>
      </c>
      <c r="AB3">
        <f>_xlfn.COVARIANCE.S(
  INDEX(Excess_Returns!$C$3:$V$62,0,MATCH($H3,Excess_Returns!$C$1:$V$1,0)),
  INDEX(Excess_Returns!$C$3:$V$62,0,MATCH(AB$2,Excess_Returns!$C$1:$V$1,0))
)</f>
        <v>2.7523479743299713E-3</v>
      </c>
    </row>
    <row r="4" spans="1:28" x14ac:dyDescent="0.2">
      <c r="A4" t="s">
        <v>64</v>
      </c>
      <c r="B4">
        <f>AVERAGE(Excess_Returns!D$2:D$62)</f>
        <v>1.8018304158151411E-2</v>
      </c>
      <c r="C4">
        <f>_xlfn.STDEV.S(Excess_Returns!D2:D62)</f>
        <v>6.4698174333666272E-2</v>
      </c>
      <c r="E4">
        <f>SLOPE(Excess_Returns!$C$3:$C$62,Excess_Returns!$B$3:$B$62)</f>
        <v>1.236533851994768</v>
      </c>
      <c r="H4" t="str" cm="1">
        <f t="array" ref="H4">INDEX($A$3:$A$22, ROWS($H$3:H4))</f>
        <v>MSFT.US</v>
      </c>
      <c r="I4">
        <f>_xlfn.COVARIANCE.S(
  INDEX(Excess_Returns!$C$3:$V$62,0,MATCH($H4,Excess_Returns!$C$1:$V$1,0)),
  INDEX(Excess_Returns!$C$3:$V$62,0,MATCH(I$2,Excess_Returns!$C$1:$V$1,0))
)</f>
        <v>3.7824465537677722E-3</v>
      </c>
      <c r="J4">
        <f>_xlfn.COVARIANCE.S(
  INDEX(Excess_Returns!$C$3:$V$62,0,MATCH($H4,Excess_Returns!$C$1:$V$1,0)),
  INDEX(Excess_Returns!$C$3:$V$62,0,MATCH(J$2,Excess_Returns!$C$1:$V$1,0))
)</f>
        <v>4.1858537621094734E-3</v>
      </c>
      <c r="K4">
        <f>_xlfn.COVARIANCE.S(
  INDEX(Excess_Returns!$C$3:$V$62,0,MATCH($H4,Excess_Returns!$C$1:$V$1,0)),
  INDEX(Excess_Returns!$C$3:$V$62,0,MATCH(K$2,Excess_Returns!$C$1:$V$1,0))
)</f>
        <v>3.2723931074393462E-3</v>
      </c>
      <c r="L4">
        <f>_xlfn.COVARIANCE.S(
  INDEX(Excess_Returns!$C$3:$V$62,0,MATCH($H4,Excess_Returns!$C$1:$V$1,0)),
  INDEX(Excess_Returns!$C$3:$V$62,0,MATCH(L$2,Excess_Returns!$C$1:$V$1,0))
)</f>
        <v>5.92199615229502E-3</v>
      </c>
      <c r="M4">
        <f>_xlfn.COVARIANCE.S(
  INDEX(Excess_Returns!$C$3:$V$62,0,MATCH($H4,Excess_Returns!$C$1:$V$1,0)),
  INDEX(Excess_Returns!$C$3:$V$62,0,MATCH(M$2,Excess_Returns!$C$1:$V$1,0))
)</f>
        <v>4.1896104867632155E-3</v>
      </c>
      <c r="N4">
        <f>_xlfn.COVARIANCE.S(
  INDEX(Excess_Returns!$C$3:$V$62,0,MATCH($H4,Excess_Returns!$C$1:$V$1,0)),
  INDEX(Excess_Returns!$C$3:$V$62,0,MATCH(N$2,Excess_Returns!$C$1:$V$1,0))
)</f>
        <v>1.0112516938725017E-3</v>
      </c>
      <c r="O4">
        <f>_xlfn.COVARIANCE.S(
  INDEX(Excess_Returns!$C$3:$V$62,0,MATCH($H4,Excess_Returns!$C$1:$V$1,0)),
  INDEX(Excess_Returns!$C$3:$V$62,0,MATCH(O$2,Excess_Returns!$C$1:$V$1,0))
)</f>
        <v>1.1617983618134142E-3</v>
      </c>
      <c r="P4">
        <f>_xlfn.COVARIANCE.S(
  INDEX(Excess_Returns!$C$3:$V$62,0,MATCH($H4,Excess_Returns!$C$1:$V$1,0)),
  INDEX(Excess_Returns!$C$3:$V$62,0,MATCH(P$2,Excess_Returns!$C$1:$V$1,0))
)</f>
        <v>1.3398784308392597E-3</v>
      </c>
      <c r="Q4">
        <f>_xlfn.COVARIANCE.S(
  INDEX(Excess_Returns!$C$3:$V$62,0,MATCH($H4,Excess_Returns!$C$1:$V$1,0)),
  INDEX(Excess_Returns!$C$3:$V$62,0,MATCH(Q$2,Excess_Returns!$C$1:$V$1,0))
)</f>
        <v>1.0521871961512246E-3</v>
      </c>
      <c r="R4">
        <f>_xlfn.COVARIANCE.S(
  INDEX(Excess_Returns!$C$3:$V$62,0,MATCH($H4,Excess_Returns!$C$1:$V$1,0)),
  INDEX(Excess_Returns!$C$3:$V$62,0,MATCH(R$2,Excess_Returns!$C$1:$V$1,0))
)</f>
        <v>9.9543026492072799E-4</v>
      </c>
      <c r="S4">
        <f>_xlfn.COVARIANCE.S(
  INDEX(Excess_Returns!$C$3:$V$62,0,MATCH($H4,Excess_Returns!$C$1:$V$1,0)),
  INDEX(Excess_Returns!$C$3:$V$62,0,MATCH(S$2,Excess_Returns!$C$1:$V$1,0))
)</f>
        <v>7.9673428743316105E-4</v>
      </c>
      <c r="T4">
        <f>_xlfn.COVARIANCE.S(
  INDEX(Excess_Returns!$C$3:$V$62,0,MATCH($H4,Excess_Returns!$C$1:$V$1,0)),
  INDEX(Excess_Returns!$C$3:$V$62,0,MATCH(T$2,Excess_Returns!$C$1:$V$1,0))
)</f>
        <v>1.3613612205470996E-3</v>
      </c>
      <c r="U4">
        <f>_xlfn.COVARIANCE.S(
  INDEX(Excess_Returns!$C$3:$V$62,0,MATCH($H4,Excess_Returns!$C$1:$V$1,0)),
  INDEX(Excess_Returns!$C$3:$V$62,0,MATCH(U$2,Excess_Returns!$C$1:$V$1,0))
)</f>
        <v>1.1241478681067458E-3</v>
      </c>
      <c r="V4">
        <f>_xlfn.COVARIANCE.S(
  INDEX(Excess_Returns!$C$3:$V$62,0,MATCH($H4,Excess_Returns!$C$1:$V$1,0)),
  INDEX(Excess_Returns!$C$3:$V$62,0,MATCH(V$2,Excess_Returns!$C$1:$V$1,0))
)</f>
        <v>1.0889794552603517E-3</v>
      </c>
      <c r="W4">
        <f>_xlfn.COVARIANCE.S(
  INDEX(Excess_Returns!$C$3:$V$62,0,MATCH($H4,Excess_Returns!$C$1:$V$1,0)),
  INDEX(Excess_Returns!$C$3:$V$62,0,MATCH(W$2,Excess_Returns!$C$1:$V$1,0))
)</f>
        <v>2.8931690113498253E-3</v>
      </c>
      <c r="X4">
        <f>_xlfn.COVARIANCE.S(
  INDEX(Excess_Returns!$C$3:$V$62,0,MATCH($H4,Excess_Returns!$C$1:$V$1,0)),
  INDEX(Excess_Returns!$C$3:$V$62,0,MATCH(X$2,Excess_Returns!$C$1:$V$1,0))
)</f>
        <v>4.1274552402737795E-3</v>
      </c>
      <c r="Y4">
        <f>_xlfn.COVARIANCE.S(
  INDEX(Excess_Returns!$C$3:$V$62,0,MATCH($H4,Excess_Returns!$C$1:$V$1,0)),
  INDEX(Excess_Returns!$C$3:$V$62,0,MATCH(Y$2,Excess_Returns!$C$1:$V$1,0))
)</f>
        <v>7.5667093708001835E-3</v>
      </c>
      <c r="Z4">
        <f>_xlfn.COVARIANCE.S(
  INDEX(Excess_Returns!$C$3:$V$62,0,MATCH($H4,Excess_Returns!$C$1:$V$1,0)),
  INDEX(Excess_Returns!$C$3:$V$62,0,MATCH(Z$2,Excess_Returns!$C$1:$V$1,0))
)</f>
        <v>2.8860489845314637E-3</v>
      </c>
      <c r="AA4">
        <f>_xlfn.COVARIANCE.S(
  INDEX(Excess_Returns!$C$3:$V$62,0,MATCH($H4,Excess_Returns!$C$1:$V$1,0)),
  INDEX(Excess_Returns!$C$3:$V$62,0,MATCH(AA$2,Excess_Returns!$C$1:$V$1,0))
)</f>
        <v>2.3634699371595435E-3</v>
      </c>
      <c r="AB4">
        <f>_xlfn.COVARIANCE.S(
  INDEX(Excess_Returns!$C$3:$V$62,0,MATCH($H4,Excess_Returns!$C$1:$V$1,0)),
  INDEX(Excess_Returns!$C$3:$V$62,0,MATCH(AB$2,Excess_Returns!$C$1:$V$1,0))
)</f>
        <v>1.4886169519437724E-3</v>
      </c>
    </row>
    <row r="5" spans="1:28" x14ac:dyDescent="0.2">
      <c r="A5" t="s">
        <v>65</v>
      </c>
      <c r="B5">
        <f>AVERAGE(Excess_Returns!E$2:E$62)</f>
        <v>1.6917831679900401E-2</v>
      </c>
      <c r="C5">
        <f>_xlfn.STDEV.S(Excess_Returns!E2:E62)</f>
        <v>7.6946641934603516E-2</v>
      </c>
      <c r="E5">
        <f>SLOPE(Excess_Returns!$C$3:$C$62,Excess_Returns!$B$3:$B$62)</f>
        <v>1.236533851994768</v>
      </c>
      <c r="H5" t="str" cm="1">
        <f t="array" ref="H5">INDEX($A$3:$A$22, ROWS($H$3:H5))</f>
        <v>GOOGL.US</v>
      </c>
      <c r="I5">
        <f>_xlfn.COVARIANCE.S(
  INDEX(Excess_Returns!$C$3:$V$62,0,MATCH($H5,Excess_Returns!$C$1:$V$1,0)),
  INDEX(Excess_Returns!$C$3:$V$62,0,MATCH(I$2,Excess_Returns!$C$1:$V$1,0))
)</f>
        <v>3.4386396440457237E-3</v>
      </c>
      <c r="J5">
        <f>_xlfn.COVARIANCE.S(
  INDEX(Excess_Returns!$C$3:$V$62,0,MATCH($H5,Excess_Returns!$C$1:$V$1,0)),
  INDEX(Excess_Returns!$C$3:$V$62,0,MATCH(J$2,Excess_Returns!$C$1:$V$1,0))
)</f>
        <v>3.2723931074393462E-3</v>
      </c>
      <c r="K5">
        <f>_xlfn.COVARIANCE.S(
  INDEX(Excess_Returns!$C$3:$V$62,0,MATCH($H5,Excess_Returns!$C$1:$V$1,0)),
  INDEX(Excess_Returns!$C$3:$V$62,0,MATCH(K$2,Excess_Returns!$C$1:$V$1,0))
)</f>
        <v>5.9207857050120856E-3</v>
      </c>
      <c r="L5">
        <f>_xlfn.COVARIANCE.S(
  INDEX(Excess_Returns!$C$3:$V$62,0,MATCH($H5,Excess_Returns!$C$1:$V$1,0)),
  INDEX(Excess_Returns!$C$3:$V$62,0,MATCH(L$2,Excess_Returns!$C$1:$V$1,0))
)</f>
        <v>6.2299412099256837E-3</v>
      </c>
      <c r="M5">
        <f>_xlfn.COVARIANCE.S(
  INDEX(Excess_Returns!$C$3:$V$62,0,MATCH($H5,Excess_Returns!$C$1:$V$1,0)),
  INDEX(Excess_Returns!$C$3:$V$62,0,MATCH(M$2,Excess_Returns!$C$1:$V$1,0))
)</f>
        <v>4.1177747292947282E-3</v>
      </c>
      <c r="N5">
        <f>_xlfn.COVARIANCE.S(
  INDEX(Excess_Returns!$C$3:$V$62,0,MATCH($H5,Excess_Returns!$C$1:$V$1,0)),
  INDEX(Excess_Returns!$C$3:$V$62,0,MATCH(N$2,Excess_Returns!$C$1:$V$1,0))
)</f>
        <v>6.5615944911829292E-4</v>
      </c>
      <c r="O5">
        <f>_xlfn.COVARIANCE.S(
  INDEX(Excess_Returns!$C$3:$V$62,0,MATCH($H5,Excess_Returns!$C$1:$V$1,0)),
  INDEX(Excess_Returns!$C$3:$V$62,0,MATCH(O$2,Excess_Returns!$C$1:$V$1,0))
)</f>
        <v>1.6235040037521945E-3</v>
      </c>
      <c r="P5">
        <f>_xlfn.COVARIANCE.S(
  INDEX(Excess_Returns!$C$3:$V$62,0,MATCH($H5,Excess_Returns!$C$1:$V$1,0)),
  INDEX(Excess_Returns!$C$3:$V$62,0,MATCH(P$2,Excess_Returns!$C$1:$V$1,0))
)</f>
        <v>1.2042157289617972E-3</v>
      </c>
      <c r="Q5">
        <f>_xlfn.COVARIANCE.S(
  INDEX(Excess_Returns!$C$3:$V$62,0,MATCH($H5,Excess_Returns!$C$1:$V$1,0)),
  INDEX(Excess_Returns!$C$3:$V$62,0,MATCH(Q$2,Excess_Returns!$C$1:$V$1,0))
)</f>
        <v>-5.039763299060607E-5</v>
      </c>
      <c r="R5">
        <f>_xlfn.COVARIANCE.S(
  INDEX(Excess_Returns!$C$3:$V$62,0,MATCH($H5,Excess_Returns!$C$1:$V$1,0)),
  INDEX(Excess_Returns!$C$3:$V$62,0,MATCH(R$2,Excess_Returns!$C$1:$V$1,0))
)</f>
        <v>1.4256920891351354E-3</v>
      </c>
      <c r="S5">
        <f>_xlfn.COVARIANCE.S(
  INDEX(Excess_Returns!$C$3:$V$62,0,MATCH($H5,Excess_Returns!$C$1:$V$1,0)),
  INDEX(Excess_Returns!$C$3:$V$62,0,MATCH(S$2,Excess_Returns!$C$1:$V$1,0))
)</f>
        <v>1.8543944019297264E-3</v>
      </c>
      <c r="T5">
        <f>_xlfn.COVARIANCE.S(
  INDEX(Excess_Returns!$C$3:$V$62,0,MATCH($H5,Excess_Returns!$C$1:$V$1,0)),
  INDEX(Excess_Returns!$C$3:$V$62,0,MATCH(T$2,Excess_Returns!$C$1:$V$1,0))
)</f>
        <v>2.6431359294372334E-3</v>
      </c>
      <c r="U5">
        <f>_xlfn.COVARIANCE.S(
  INDEX(Excess_Returns!$C$3:$V$62,0,MATCH($H5,Excess_Returns!$C$1:$V$1,0)),
  INDEX(Excess_Returns!$C$3:$V$62,0,MATCH(U$2,Excess_Returns!$C$1:$V$1,0))
)</f>
        <v>3.0539485456399225E-3</v>
      </c>
      <c r="V5">
        <f>_xlfn.COVARIANCE.S(
  INDEX(Excess_Returns!$C$3:$V$62,0,MATCH($H5,Excess_Returns!$C$1:$V$1,0)),
  INDEX(Excess_Returns!$C$3:$V$62,0,MATCH(V$2,Excess_Returns!$C$1:$V$1,0))
)</f>
        <v>2.9221434256936902E-3</v>
      </c>
      <c r="W5">
        <f>_xlfn.COVARIANCE.S(
  INDEX(Excess_Returns!$C$3:$V$62,0,MATCH($H5,Excess_Returns!$C$1:$V$1,0)),
  INDEX(Excess_Returns!$C$3:$V$62,0,MATCH(W$2,Excess_Returns!$C$1:$V$1,0))
)</f>
        <v>4.2691047742361016E-3</v>
      </c>
      <c r="X5">
        <f>_xlfn.COVARIANCE.S(
  INDEX(Excess_Returns!$C$3:$V$62,0,MATCH($H5,Excess_Returns!$C$1:$V$1,0)),
  INDEX(Excess_Returns!$C$3:$V$62,0,MATCH(X$2,Excess_Returns!$C$1:$V$1,0))
)</f>
        <v>4.4610732995470793E-3</v>
      </c>
      <c r="Y5">
        <f>_xlfn.COVARIANCE.S(
  INDEX(Excess_Returns!$C$3:$V$62,0,MATCH($H5,Excess_Returns!$C$1:$V$1,0)),
  INDEX(Excess_Returns!$C$3:$V$62,0,MATCH(Y$2,Excess_Returns!$C$1:$V$1,0))
)</f>
        <v>7.5805036909610737E-3</v>
      </c>
      <c r="Z5">
        <f>_xlfn.COVARIANCE.S(
  INDEX(Excess_Returns!$C$3:$V$62,0,MATCH($H5,Excess_Returns!$C$1:$V$1,0)),
  INDEX(Excess_Returns!$C$3:$V$62,0,MATCH(Z$2,Excess_Returns!$C$1:$V$1,0))
)</f>
        <v>1.8362671775971943E-3</v>
      </c>
      <c r="AA5">
        <f>_xlfn.COVARIANCE.S(
  INDEX(Excess_Returns!$C$3:$V$62,0,MATCH($H5,Excess_Returns!$C$1:$V$1,0)),
  INDEX(Excess_Returns!$C$3:$V$62,0,MATCH(AA$2,Excess_Returns!$C$1:$V$1,0))
)</f>
        <v>2.0944727787009791E-3</v>
      </c>
      <c r="AB5">
        <f>_xlfn.COVARIANCE.S(
  INDEX(Excess_Returns!$C$3:$V$62,0,MATCH($H5,Excess_Returns!$C$1:$V$1,0)),
  INDEX(Excess_Returns!$C$3:$V$62,0,MATCH(AB$2,Excess_Returns!$C$1:$V$1,0))
)</f>
        <v>1.4496785120651501E-3</v>
      </c>
    </row>
    <row r="6" spans="1:28" x14ac:dyDescent="0.2">
      <c r="A6" t="s">
        <v>66</v>
      </c>
      <c r="B6">
        <f>AVERAGE(Excess_Returns!F$2:F$62)</f>
        <v>6.3391182852659739E-2</v>
      </c>
      <c r="C6">
        <f>_xlfn.STDEV.S(Excess_Returns!F2:F62)</f>
        <v>0.1431679377450947</v>
      </c>
      <c r="E6">
        <f>SLOPE(Excess_Returns!$C$3:$C$62,Excess_Returns!$B$3:$B$62)</f>
        <v>1.236533851994768</v>
      </c>
      <c r="H6" t="str" cm="1">
        <f t="array" ref="H6">INDEX($A$3:$A$22, ROWS($H$3:H6))</f>
        <v>NVDA.US</v>
      </c>
      <c r="I6">
        <f>_xlfn.COVARIANCE.S(
  INDEX(Excess_Returns!$C$3:$V$62,0,MATCH($H6,Excess_Returns!$C$1:$V$1,0)),
  INDEX(Excess_Returns!$C$3:$V$62,0,MATCH(I$2,Excess_Returns!$C$1:$V$1,0))
)</f>
        <v>6.3503387986278276E-3</v>
      </c>
      <c r="J6">
        <f>_xlfn.COVARIANCE.S(
  INDEX(Excess_Returns!$C$3:$V$62,0,MATCH($H6,Excess_Returns!$C$1:$V$1,0)),
  INDEX(Excess_Returns!$C$3:$V$62,0,MATCH(J$2,Excess_Returns!$C$1:$V$1,0))
)</f>
        <v>5.92199615229502E-3</v>
      </c>
      <c r="K6">
        <f>_xlfn.COVARIANCE.S(
  INDEX(Excess_Returns!$C$3:$V$62,0,MATCH($H6,Excess_Returns!$C$1:$V$1,0)),
  INDEX(Excess_Returns!$C$3:$V$62,0,MATCH(K$2,Excess_Returns!$C$1:$V$1,0))
)</f>
        <v>6.2299412099256837E-3</v>
      </c>
      <c r="L6">
        <f>_xlfn.COVARIANCE.S(
  INDEX(Excess_Returns!$C$3:$V$62,0,MATCH($H6,Excess_Returns!$C$1:$V$1,0)),
  INDEX(Excess_Returns!$C$3:$V$62,0,MATCH(L$2,Excess_Returns!$C$1:$V$1,0))
)</f>
        <v>2.0497058398183311E-2</v>
      </c>
      <c r="M6">
        <f>_xlfn.COVARIANCE.S(
  INDEX(Excess_Returns!$C$3:$V$62,0,MATCH($H6,Excess_Returns!$C$1:$V$1,0)),
  INDEX(Excess_Returns!$C$3:$V$62,0,MATCH(M$2,Excess_Returns!$C$1:$V$1,0))
)</f>
        <v>8.9615172526682236E-3</v>
      </c>
      <c r="N6">
        <f>_xlfn.COVARIANCE.S(
  INDEX(Excess_Returns!$C$3:$V$62,0,MATCH($H6,Excess_Returns!$C$1:$V$1,0)),
  INDEX(Excess_Returns!$C$3:$V$62,0,MATCH(N$2,Excess_Returns!$C$1:$V$1,0))
)</f>
        <v>-7.0311130946974806E-5</v>
      </c>
      <c r="O6">
        <f>_xlfn.COVARIANCE.S(
  INDEX(Excess_Returns!$C$3:$V$62,0,MATCH($H6,Excess_Returns!$C$1:$V$1,0)),
  INDEX(Excess_Returns!$C$3:$V$62,0,MATCH(O$2,Excess_Returns!$C$1:$V$1,0))
)</f>
        <v>2.3945424028042066E-3</v>
      </c>
      <c r="P6">
        <f>_xlfn.COVARIANCE.S(
  INDEX(Excess_Returns!$C$3:$V$62,0,MATCH($H6,Excess_Returns!$C$1:$V$1,0)),
  INDEX(Excess_Returns!$C$3:$V$62,0,MATCH(P$2,Excess_Returns!$C$1:$V$1,0))
)</f>
        <v>-3.1129228998900232E-5</v>
      </c>
      <c r="Q6">
        <f>_xlfn.COVARIANCE.S(
  INDEX(Excess_Returns!$C$3:$V$62,0,MATCH($H6,Excess_Returns!$C$1:$V$1,0)),
  INDEX(Excess_Returns!$C$3:$V$62,0,MATCH(Q$2,Excess_Returns!$C$1:$V$1,0))
)</f>
        <v>3.7279363750231261E-4</v>
      </c>
      <c r="R6">
        <f>_xlfn.COVARIANCE.S(
  INDEX(Excess_Returns!$C$3:$V$62,0,MATCH($H6,Excess_Returns!$C$1:$V$1,0)),
  INDEX(Excess_Returns!$C$3:$V$62,0,MATCH(R$2,Excess_Returns!$C$1:$V$1,0))
)</f>
        <v>1.7929498314294744E-3</v>
      </c>
      <c r="S6">
        <f>_xlfn.COVARIANCE.S(
  INDEX(Excess_Returns!$C$3:$V$62,0,MATCH($H6,Excess_Returns!$C$1:$V$1,0)),
  INDEX(Excess_Returns!$C$3:$V$62,0,MATCH(S$2,Excess_Returns!$C$1:$V$1,0))
)</f>
        <v>5.1333034871922188E-5</v>
      </c>
      <c r="T6">
        <f>_xlfn.COVARIANCE.S(
  INDEX(Excess_Returns!$C$3:$V$62,0,MATCH($H6,Excess_Returns!$C$1:$V$1,0)),
  INDEX(Excess_Returns!$C$3:$V$62,0,MATCH(T$2,Excess_Returns!$C$1:$V$1,0))
)</f>
        <v>1.7063606089195928E-3</v>
      </c>
      <c r="U6">
        <f>_xlfn.COVARIANCE.S(
  INDEX(Excess_Returns!$C$3:$V$62,0,MATCH($H6,Excess_Returns!$C$1:$V$1,0)),
  INDEX(Excess_Returns!$C$3:$V$62,0,MATCH(U$2,Excess_Returns!$C$1:$V$1,0))
)</f>
        <v>7.3171866211292158E-4</v>
      </c>
      <c r="V6">
        <f>_xlfn.COVARIANCE.S(
  INDEX(Excess_Returns!$C$3:$V$62,0,MATCH($H6,Excess_Returns!$C$1:$V$1,0)),
  INDEX(Excess_Returns!$C$3:$V$62,0,MATCH(V$2,Excess_Returns!$C$1:$V$1,0))
)</f>
        <v>1.4983474341957064E-3</v>
      </c>
      <c r="W6">
        <f>_xlfn.COVARIANCE.S(
  INDEX(Excess_Returns!$C$3:$V$62,0,MATCH($H6,Excess_Returns!$C$1:$V$1,0)),
  INDEX(Excess_Returns!$C$3:$V$62,0,MATCH(W$2,Excess_Returns!$C$1:$V$1,0))
)</f>
        <v>7.0182775469998114E-4</v>
      </c>
      <c r="X6">
        <f>_xlfn.COVARIANCE.S(
  INDEX(Excess_Returns!$C$3:$V$62,0,MATCH($H6,Excess_Returns!$C$1:$V$1,0)),
  INDEX(Excess_Returns!$C$3:$V$62,0,MATCH(X$2,Excess_Returns!$C$1:$V$1,0))
)</f>
        <v>8.3513361900385118E-3</v>
      </c>
      <c r="Y6">
        <f>_xlfn.COVARIANCE.S(
  INDEX(Excess_Returns!$C$3:$V$62,0,MATCH($H6,Excess_Returns!$C$1:$V$1,0)),
  INDEX(Excess_Returns!$C$3:$V$62,0,MATCH(Y$2,Excess_Returns!$C$1:$V$1,0))
)</f>
        <v>1.2839548432470482E-2</v>
      </c>
      <c r="Z6">
        <f>_xlfn.COVARIANCE.S(
  INDEX(Excess_Returns!$C$3:$V$62,0,MATCH($H6,Excess_Returns!$C$1:$V$1,0)),
  INDEX(Excess_Returns!$C$3:$V$62,0,MATCH(Z$2,Excess_Returns!$C$1:$V$1,0))
)</f>
        <v>4.6617293107690692E-3</v>
      </c>
      <c r="AA6">
        <f>_xlfn.COVARIANCE.S(
  INDEX(Excess_Returns!$C$3:$V$62,0,MATCH($H6,Excess_Returns!$C$1:$V$1,0)),
  INDEX(Excess_Returns!$C$3:$V$62,0,MATCH(AA$2,Excess_Returns!$C$1:$V$1,0))
)</f>
        <v>3.8535434375259877E-3</v>
      </c>
      <c r="AB6">
        <f>_xlfn.COVARIANCE.S(
  INDEX(Excess_Returns!$C$3:$V$62,0,MATCH($H6,Excess_Returns!$C$1:$V$1,0)),
  INDEX(Excess_Returns!$C$3:$V$62,0,MATCH(AB$2,Excess_Returns!$C$1:$V$1,0))
)</f>
        <v>1.1945656082648752E-3</v>
      </c>
    </row>
    <row r="7" spans="1:28" x14ac:dyDescent="0.2">
      <c r="A7" t="s">
        <v>67</v>
      </c>
      <c r="B7">
        <f>AVERAGE(Excess_Returns!G$2:G$62)</f>
        <v>2.2760690581831267E-2</v>
      </c>
      <c r="C7">
        <f>_xlfn.STDEV.S(Excess_Returns!G2:G62)</f>
        <v>0.1182377013197166</v>
      </c>
      <c r="E7">
        <f>SLOPE(Excess_Returns!$C$3:$C$62,Excess_Returns!$B$3:$B$62)</f>
        <v>1.236533851994768</v>
      </c>
      <c r="H7" t="str" cm="1">
        <f t="array" ref="H7">INDEX($A$3:$A$22, ROWS($H$3:H7))</f>
        <v>META.US</v>
      </c>
      <c r="I7">
        <f>_xlfn.COVARIANCE.S(
  INDEX(Excess_Returns!$C$3:$V$62,0,MATCH($H7,Excess_Returns!$C$1:$V$1,0)),
  INDEX(Excess_Returns!$C$3:$V$62,0,MATCH(I$2,Excess_Returns!$C$1:$V$1,0))
)</f>
        <v>3.9354667142365842E-3</v>
      </c>
      <c r="J7">
        <f>_xlfn.COVARIANCE.S(
  INDEX(Excess_Returns!$C$3:$V$62,0,MATCH($H7,Excess_Returns!$C$1:$V$1,0)),
  INDEX(Excess_Returns!$C$3:$V$62,0,MATCH(J$2,Excess_Returns!$C$1:$V$1,0))
)</f>
        <v>4.1896104867632155E-3</v>
      </c>
      <c r="K7">
        <f>_xlfn.COVARIANCE.S(
  INDEX(Excess_Returns!$C$3:$V$62,0,MATCH($H7,Excess_Returns!$C$1:$V$1,0)),
  INDEX(Excess_Returns!$C$3:$V$62,0,MATCH(K$2,Excess_Returns!$C$1:$V$1,0))
)</f>
        <v>4.1177747292947282E-3</v>
      </c>
      <c r="L7">
        <f>_xlfn.COVARIANCE.S(
  INDEX(Excess_Returns!$C$3:$V$62,0,MATCH($H7,Excess_Returns!$C$1:$V$1,0)),
  INDEX(Excess_Returns!$C$3:$V$62,0,MATCH(L$2,Excess_Returns!$C$1:$V$1,0))
)</f>
        <v>8.9615172526682236E-3</v>
      </c>
      <c r="M7">
        <f>_xlfn.COVARIANCE.S(
  INDEX(Excess_Returns!$C$3:$V$62,0,MATCH($H7,Excess_Returns!$C$1:$V$1,0)),
  INDEX(Excess_Returns!$C$3:$V$62,0,MATCH(M$2,Excess_Returns!$C$1:$V$1,0))
)</f>
        <v>1.3980154013370513E-2</v>
      </c>
      <c r="N7">
        <f>_xlfn.COVARIANCE.S(
  INDEX(Excess_Returns!$C$3:$V$62,0,MATCH($H7,Excess_Returns!$C$1:$V$1,0)),
  INDEX(Excess_Returns!$C$3:$V$62,0,MATCH(N$2,Excess_Returns!$C$1:$V$1,0))
)</f>
        <v>1.1393418992713463E-3</v>
      </c>
      <c r="O7">
        <f>_xlfn.COVARIANCE.S(
  INDEX(Excess_Returns!$C$3:$V$62,0,MATCH($H7,Excess_Returns!$C$1:$V$1,0)),
  INDEX(Excess_Returns!$C$3:$V$62,0,MATCH(O$2,Excess_Returns!$C$1:$V$1,0))
)</f>
        <v>1.774135733159841E-3</v>
      </c>
      <c r="P7">
        <f>_xlfn.COVARIANCE.S(
  INDEX(Excess_Returns!$C$3:$V$62,0,MATCH($H7,Excess_Returns!$C$1:$V$1,0)),
  INDEX(Excess_Returns!$C$3:$V$62,0,MATCH(P$2,Excess_Returns!$C$1:$V$1,0))
)</f>
        <v>3.051324887392818E-4</v>
      </c>
      <c r="Q7">
        <f>_xlfn.COVARIANCE.S(
  INDEX(Excess_Returns!$C$3:$V$62,0,MATCH($H7,Excess_Returns!$C$1:$V$1,0)),
  INDEX(Excess_Returns!$C$3:$V$62,0,MATCH(Q$2,Excess_Returns!$C$1:$V$1,0))
)</f>
        <v>4.9295682988830891E-4</v>
      </c>
      <c r="R7">
        <f>_xlfn.COVARIANCE.S(
  INDEX(Excess_Returns!$C$3:$V$62,0,MATCH($H7,Excess_Returns!$C$1:$V$1,0)),
  INDEX(Excess_Returns!$C$3:$V$62,0,MATCH(R$2,Excess_Returns!$C$1:$V$1,0))
)</f>
        <v>1.3171842938178367E-3</v>
      </c>
      <c r="S7">
        <f>_xlfn.COVARIANCE.S(
  INDEX(Excess_Returns!$C$3:$V$62,0,MATCH($H7,Excess_Returns!$C$1:$V$1,0)),
  INDEX(Excess_Returns!$C$3:$V$62,0,MATCH(S$2,Excess_Returns!$C$1:$V$1,0))
)</f>
        <v>-3.5287720909599782E-4</v>
      </c>
      <c r="T7">
        <f>_xlfn.COVARIANCE.S(
  INDEX(Excess_Returns!$C$3:$V$62,0,MATCH($H7,Excess_Returns!$C$1:$V$1,0)),
  INDEX(Excess_Returns!$C$3:$V$62,0,MATCH(T$2,Excess_Returns!$C$1:$V$1,0))
)</f>
        <v>1.0885562854645397E-4</v>
      </c>
      <c r="U7">
        <f>_xlfn.COVARIANCE.S(
  INDEX(Excess_Returns!$C$3:$V$62,0,MATCH($H7,Excess_Returns!$C$1:$V$1,0)),
  INDEX(Excess_Returns!$C$3:$V$62,0,MATCH(U$2,Excess_Returns!$C$1:$V$1,0))
)</f>
        <v>3.0540170085488667E-4</v>
      </c>
      <c r="V7">
        <f>_xlfn.COVARIANCE.S(
  INDEX(Excess_Returns!$C$3:$V$62,0,MATCH($H7,Excess_Returns!$C$1:$V$1,0)),
  INDEX(Excess_Returns!$C$3:$V$62,0,MATCH(V$2,Excess_Returns!$C$1:$V$1,0))
)</f>
        <v>4.5123111379692714E-4</v>
      </c>
      <c r="W7">
        <f>_xlfn.COVARIANCE.S(
  INDEX(Excess_Returns!$C$3:$V$62,0,MATCH($H7,Excess_Returns!$C$1:$V$1,0)),
  INDEX(Excess_Returns!$C$3:$V$62,0,MATCH(W$2,Excess_Returns!$C$1:$V$1,0))
)</f>
        <v>5.1478267665130799E-4</v>
      </c>
      <c r="X7">
        <f>_xlfn.COVARIANCE.S(
  INDEX(Excess_Returns!$C$3:$V$62,0,MATCH($H7,Excess_Returns!$C$1:$V$1,0)),
  INDEX(Excess_Returns!$C$3:$V$62,0,MATCH(X$2,Excess_Returns!$C$1:$V$1,0))
)</f>
        <v>5.2265573319180943E-3</v>
      </c>
      <c r="Y7">
        <f>_xlfn.COVARIANCE.S(
  INDEX(Excess_Returns!$C$3:$V$62,0,MATCH($H7,Excess_Returns!$C$1:$V$1,0)),
  INDEX(Excess_Returns!$C$3:$V$62,0,MATCH(Y$2,Excess_Returns!$C$1:$V$1,0))
)</f>
        <v>8.0874683252658234E-3</v>
      </c>
      <c r="Z7">
        <f>_xlfn.COVARIANCE.S(
  INDEX(Excess_Returns!$C$3:$V$62,0,MATCH($H7,Excess_Returns!$C$1:$V$1,0)),
  INDEX(Excess_Returns!$C$3:$V$62,0,MATCH(Z$2,Excess_Returns!$C$1:$V$1,0))
)</f>
        <v>3.429421924707539E-3</v>
      </c>
      <c r="AA7">
        <f>_xlfn.COVARIANCE.S(
  INDEX(Excess_Returns!$C$3:$V$62,0,MATCH($H7,Excess_Returns!$C$1:$V$1,0)),
  INDEX(Excess_Returns!$C$3:$V$62,0,MATCH(AA$2,Excess_Returns!$C$1:$V$1,0))
)</f>
        <v>4.0315627593117548E-3</v>
      </c>
      <c r="AB7">
        <f>_xlfn.COVARIANCE.S(
  INDEX(Excess_Returns!$C$3:$V$62,0,MATCH($H7,Excess_Returns!$C$1:$V$1,0)),
  INDEX(Excess_Returns!$C$3:$V$62,0,MATCH(AB$2,Excess_Returns!$C$1:$V$1,0))
)</f>
        <v>1.6348891940187705E-3</v>
      </c>
    </row>
    <row r="8" spans="1:28" x14ac:dyDescent="0.2">
      <c r="A8" t="s">
        <v>68</v>
      </c>
      <c r="B8">
        <f>AVERAGE(Excess_Returns!H$2:H$62)</f>
        <v>2.4810110369018618E-3</v>
      </c>
      <c r="C8">
        <f>_xlfn.STDEV.S(Excess_Returns!H2:H62)</f>
        <v>5.0403688977994757E-2</v>
      </c>
      <c r="E8">
        <f>SLOPE(Excess_Returns!$C$3:$C$62,Excess_Returns!$B$3:$B$62)</f>
        <v>1.236533851994768</v>
      </c>
      <c r="H8" t="str" cm="1">
        <f t="array" ref="H8">INDEX($A$3:$A$22, ROWS($H$3:H8))</f>
        <v>JNJ.US</v>
      </c>
      <c r="I8">
        <f>_xlfn.COVARIANCE.S(
  INDEX(Excess_Returns!$C$3:$V$62,0,MATCH($H8,Excess_Returns!$C$1:$V$1,0)),
  INDEX(Excess_Returns!$C$3:$V$62,0,MATCH(I$2,Excess_Returns!$C$1:$V$1,0))
)</f>
        <v>1.7537673707754581E-3</v>
      </c>
      <c r="J8">
        <f>_xlfn.COVARIANCE.S(
  INDEX(Excess_Returns!$C$3:$V$62,0,MATCH($H8,Excess_Returns!$C$1:$V$1,0)),
  INDEX(Excess_Returns!$C$3:$V$62,0,MATCH(J$2,Excess_Returns!$C$1:$V$1,0))
)</f>
        <v>1.0112516938725017E-3</v>
      </c>
      <c r="K8">
        <f>_xlfn.COVARIANCE.S(
  INDEX(Excess_Returns!$C$3:$V$62,0,MATCH($H8,Excess_Returns!$C$1:$V$1,0)),
  INDEX(Excess_Returns!$C$3:$V$62,0,MATCH(K$2,Excess_Returns!$C$1:$V$1,0))
)</f>
        <v>6.5615944911829292E-4</v>
      </c>
      <c r="L8">
        <f>_xlfn.COVARIANCE.S(
  INDEX(Excess_Returns!$C$3:$V$62,0,MATCH($H8,Excess_Returns!$C$1:$V$1,0)),
  INDEX(Excess_Returns!$C$3:$V$62,0,MATCH(L$2,Excess_Returns!$C$1:$V$1,0))
)</f>
        <v>-7.0311130946974806E-5</v>
      </c>
      <c r="M8">
        <f>_xlfn.COVARIANCE.S(
  INDEX(Excess_Returns!$C$3:$V$62,0,MATCH($H8,Excess_Returns!$C$1:$V$1,0)),
  INDEX(Excess_Returns!$C$3:$V$62,0,MATCH(M$2,Excess_Returns!$C$1:$V$1,0))
)</f>
        <v>1.1393418992713463E-3</v>
      </c>
      <c r="N8">
        <f>_xlfn.COVARIANCE.S(
  INDEX(Excess_Returns!$C$3:$V$62,0,MATCH($H8,Excess_Returns!$C$1:$V$1,0)),
  INDEX(Excess_Returns!$C$3:$V$62,0,MATCH(N$2,Excess_Returns!$C$1:$V$1,0))
)</f>
        <v>2.5405318625904313E-3</v>
      </c>
      <c r="O8">
        <f>_xlfn.COVARIANCE.S(
  INDEX(Excess_Returns!$C$3:$V$62,0,MATCH($H8,Excess_Returns!$C$1:$V$1,0)),
  INDEX(Excess_Returns!$C$3:$V$62,0,MATCH(O$2,Excess_Returns!$C$1:$V$1,0))
)</f>
        <v>2.1998074140905191E-3</v>
      </c>
      <c r="P8">
        <f>_xlfn.COVARIANCE.S(
  INDEX(Excess_Returns!$C$3:$V$62,0,MATCH($H8,Excess_Returns!$C$1:$V$1,0)),
  INDEX(Excess_Returns!$C$3:$V$62,0,MATCH(P$2,Excess_Returns!$C$1:$V$1,0))
)</f>
        <v>1.7586099783029807E-3</v>
      </c>
      <c r="Q8">
        <f>_xlfn.COVARIANCE.S(
  INDEX(Excess_Returns!$C$3:$V$62,0,MATCH($H8,Excess_Returns!$C$1:$V$1,0)),
  INDEX(Excess_Returns!$C$3:$V$62,0,MATCH(Q$2,Excess_Returns!$C$1:$V$1,0))
)</f>
        <v>1.5497973145619773E-3</v>
      </c>
      <c r="R8">
        <f>_xlfn.COVARIANCE.S(
  INDEX(Excess_Returns!$C$3:$V$62,0,MATCH($H8,Excess_Returns!$C$1:$V$1,0)),
  INDEX(Excess_Returns!$C$3:$V$62,0,MATCH(R$2,Excess_Returns!$C$1:$V$1,0))
)</f>
        <v>1.6649285437346597E-3</v>
      </c>
      <c r="S8">
        <f>_xlfn.COVARIANCE.S(
  INDEX(Excess_Returns!$C$3:$V$62,0,MATCH($H8,Excess_Returns!$C$1:$V$1,0)),
  INDEX(Excess_Returns!$C$3:$V$62,0,MATCH(S$2,Excess_Returns!$C$1:$V$1,0))
)</f>
        <v>1.7286382696614451E-3</v>
      </c>
      <c r="T8">
        <f>_xlfn.COVARIANCE.S(
  INDEX(Excess_Returns!$C$3:$V$62,0,MATCH($H8,Excess_Returns!$C$1:$V$1,0)),
  INDEX(Excess_Returns!$C$3:$V$62,0,MATCH(T$2,Excess_Returns!$C$1:$V$1,0))
)</f>
        <v>1.9449230817772966E-3</v>
      </c>
      <c r="U8">
        <f>_xlfn.COVARIANCE.S(
  INDEX(Excess_Returns!$C$3:$V$62,0,MATCH($H8,Excess_Returns!$C$1:$V$1,0)),
  INDEX(Excess_Returns!$C$3:$V$62,0,MATCH(U$2,Excess_Returns!$C$1:$V$1,0))
)</f>
        <v>2.0394336547906585E-3</v>
      </c>
      <c r="V8">
        <f>_xlfn.COVARIANCE.S(
  INDEX(Excess_Returns!$C$3:$V$62,0,MATCH($H8,Excess_Returns!$C$1:$V$1,0)),
  INDEX(Excess_Returns!$C$3:$V$62,0,MATCH(V$2,Excess_Returns!$C$1:$V$1,0))
)</f>
        <v>2.7457030086465678E-3</v>
      </c>
      <c r="W8">
        <f>_xlfn.COVARIANCE.S(
  INDEX(Excess_Returns!$C$3:$V$62,0,MATCH($H8,Excess_Returns!$C$1:$V$1,0)),
  INDEX(Excess_Returns!$C$3:$V$62,0,MATCH(W$2,Excess_Returns!$C$1:$V$1,0))
)</f>
        <v>2.2162985910635837E-3</v>
      </c>
      <c r="X8">
        <f>_xlfn.COVARIANCE.S(
  INDEX(Excess_Returns!$C$3:$V$62,0,MATCH($H8,Excess_Returns!$C$1:$V$1,0)),
  INDEX(Excess_Returns!$C$3:$V$62,0,MATCH(X$2,Excess_Returns!$C$1:$V$1,0))
)</f>
        <v>4.2907058396694867E-4</v>
      </c>
      <c r="Y8">
        <f>_xlfn.COVARIANCE.S(
  INDEX(Excess_Returns!$C$3:$V$62,0,MATCH($H8,Excess_Returns!$C$1:$V$1,0)),
  INDEX(Excess_Returns!$C$3:$V$62,0,MATCH(Y$2,Excess_Returns!$C$1:$V$1,0))
)</f>
        <v>2.5306202363007276E-3</v>
      </c>
      <c r="Z8">
        <f>_xlfn.COVARIANCE.S(
  INDEX(Excess_Returns!$C$3:$V$62,0,MATCH($H8,Excess_Returns!$C$1:$V$1,0)),
  INDEX(Excess_Returns!$C$3:$V$62,0,MATCH(Z$2,Excess_Returns!$C$1:$V$1,0))
)</f>
        <v>1.5338072644676766E-3</v>
      </c>
      <c r="AA8">
        <f>_xlfn.COVARIANCE.S(
  INDEX(Excess_Returns!$C$3:$V$62,0,MATCH($H8,Excess_Returns!$C$1:$V$1,0)),
  INDEX(Excess_Returns!$C$3:$V$62,0,MATCH(AA$2,Excess_Returns!$C$1:$V$1,0))
)</f>
        <v>1.6977378754476024E-3</v>
      </c>
      <c r="AB8">
        <f>_xlfn.COVARIANCE.S(
  INDEX(Excess_Returns!$C$3:$V$62,0,MATCH($H8,Excess_Returns!$C$1:$V$1,0)),
  INDEX(Excess_Returns!$C$3:$V$62,0,MATCH(AB$2,Excess_Returns!$C$1:$V$1,0))
)</f>
        <v>1.6543531563294517E-3</v>
      </c>
    </row>
    <row r="9" spans="1:28" x14ac:dyDescent="0.2">
      <c r="A9" t="s">
        <v>69</v>
      </c>
      <c r="B9">
        <f>AVERAGE(Excess_Returns!I$2:I$62)</f>
        <v>-3.6473316780250647E-3</v>
      </c>
      <c r="C9">
        <f>_xlfn.STDEV.S(Excess_Returns!I2:I62)</f>
        <v>7.9301850678517916E-2</v>
      </c>
      <c r="E9">
        <f>SLOPE(Excess_Returns!$C$3:$C$62,Excess_Returns!$B$3:$B$62)</f>
        <v>1.236533851994768</v>
      </c>
      <c r="H9" t="str" cm="1">
        <f t="array" ref="H9">INDEX($A$3:$A$22, ROWS($H$3:H9))</f>
        <v>PFE.US</v>
      </c>
      <c r="I9">
        <f>_xlfn.COVARIANCE.S(
  INDEX(Excess_Returns!$C$3:$V$62,0,MATCH($H9,Excess_Returns!$C$1:$V$1,0)),
  INDEX(Excess_Returns!$C$3:$V$62,0,MATCH(I$2,Excess_Returns!$C$1:$V$1,0))
)</f>
        <v>2.2923077829861784E-3</v>
      </c>
      <c r="J9">
        <f>_xlfn.COVARIANCE.S(
  INDEX(Excess_Returns!$C$3:$V$62,0,MATCH($H9,Excess_Returns!$C$1:$V$1,0)),
  INDEX(Excess_Returns!$C$3:$V$62,0,MATCH(J$2,Excess_Returns!$C$1:$V$1,0))
)</f>
        <v>1.1617983618134142E-3</v>
      </c>
      <c r="K9">
        <f>_xlfn.COVARIANCE.S(
  INDEX(Excess_Returns!$C$3:$V$62,0,MATCH($H9,Excess_Returns!$C$1:$V$1,0)),
  INDEX(Excess_Returns!$C$3:$V$62,0,MATCH(K$2,Excess_Returns!$C$1:$V$1,0))
)</f>
        <v>1.6235040037521945E-3</v>
      </c>
      <c r="L9">
        <f>_xlfn.COVARIANCE.S(
  INDEX(Excess_Returns!$C$3:$V$62,0,MATCH($H9,Excess_Returns!$C$1:$V$1,0)),
  INDEX(Excess_Returns!$C$3:$V$62,0,MATCH(L$2,Excess_Returns!$C$1:$V$1,0))
)</f>
        <v>2.3945424028042066E-3</v>
      </c>
      <c r="M9">
        <f>_xlfn.COVARIANCE.S(
  INDEX(Excess_Returns!$C$3:$V$62,0,MATCH($H9,Excess_Returns!$C$1:$V$1,0)),
  INDEX(Excess_Returns!$C$3:$V$62,0,MATCH(M$2,Excess_Returns!$C$1:$V$1,0))
)</f>
        <v>1.774135733159841E-3</v>
      </c>
      <c r="N9">
        <f>_xlfn.COVARIANCE.S(
  INDEX(Excess_Returns!$C$3:$V$62,0,MATCH($H9,Excess_Returns!$C$1:$V$1,0)),
  INDEX(Excess_Returns!$C$3:$V$62,0,MATCH(N$2,Excess_Returns!$C$1:$V$1,0))
)</f>
        <v>2.1998074140905191E-3</v>
      </c>
      <c r="O9">
        <f>_xlfn.COVARIANCE.S(
  INDEX(Excess_Returns!$C$3:$V$62,0,MATCH($H9,Excess_Returns!$C$1:$V$1,0)),
  INDEX(Excess_Returns!$C$3:$V$62,0,MATCH(O$2,Excess_Returns!$C$1:$V$1,0))
)</f>
        <v>6.2887835210379524E-3</v>
      </c>
      <c r="P9">
        <f>_xlfn.COVARIANCE.S(
  INDEX(Excess_Returns!$C$3:$V$62,0,MATCH($H9,Excess_Returns!$C$1:$V$1,0)),
  INDEX(Excess_Returns!$C$3:$V$62,0,MATCH(P$2,Excess_Returns!$C$1:$V$1,0))
)</f>
        <v>2.1958095152711274E-3</v>
      </c>
      <c r="Q9">
        <f>_xlfn.COVARIANCE.S(
  INDEX(Excess_Returns!$C$3:$V$62,0,MATCH($H9,Excess_Returns!$C$1:$V$1,0)),
  INDEX(Excess_Returns!$C$3:$V$62,0,MATCH(Q$2,Excess_Returns!$C$1:$V$1,0))
)</f>
        <v>6.4809977725040679E-4</v>
      </c>
      <c r="R9">
        <f>_xlfn.COVARIANCE.S(
  INDEX(Excess_Returns!$C$3:$V$62,0,MATCH($H9,Excess_Returns!$C$1:$V$1,0)),
  INDEX(Excess_Returns!$C$3:$V$62,0,MATCH(R$2,Excess_Returns!$C$1:$V$1,0))
)</f>
        <v>2.0478259013670249E-3</v>
      </c>
      <c r="S9">
        <f>_xlfn.COVARIANCE.S(
  INDEX(Excess_Returns!$C$3:$V$62,0,MATCH($H9,Excess_Returns!$C$1:$V$1,0)),
  INDEX(Excess_Returns!$C$3:$V$62,0,MATCH(S$2,Excess_Returns!$C$1:$V$1,0))
)</f>
        <v>9.0202994159800708E-4</v>
      </c>
      <c r="T9">
        <f>_xlfn.COVARIANCE.S(
  INDEX(Excess_Returns!$C$3:$V$62,0,MATCH($H9,Excess_Returns!$C$1:$V$1,0)),
  INDEX(Excess_Returns!$C$3:$V$62,0,MATCH(T$2,Excess_Returns!$C$1:$V$1,0))
)</f>
        <v>2.0992906067257159E-3</v>
      </c>
      <c r="U9">
        <f>_xlfn.COVARIANCE.S(
  INDEX(Excess_Returns!$C$3:$V$62,0,MATCH($H9,Excess_Returns!$C$1:$V$1,0)),
  INDEX(Excess_Returns!$C$3:$V$62,0,MATCH(U$2,Excess_Returns!$C$1:$V$1,0))
)</f>
        <v>1.2627411220018652E-3</v>
      </c>
      <c r="V9">
        <f>_xlfn.COVARIANCE.S(
  INDEX(Excess_Returns!$C$3:$V$62,0,MATCH($H9,Excess_Returns!$C$1:$V$1,0)),
  INDEX(Excess_Returns!$C$3:$V$62,0,MATCH(V$2,Excess_Returns!$C$1:$V$1,0))
)</f>
        <v>1.843830558509567E-3</v>
      </c>
      <c r="W9">
        <f>_xlfn.COVARIANCE.S(
  INDEX(Excess_Returns!$C$3:$V$62,0,MATCH($H9,Excess_Returns!$C$1:$V$1,0)),
  INDEX(Excess_Returns!$C$3:$V$62,0,MATCH(W$2,Excess_Returns!$C$1:$V$1,0))
)</f>
        <v>7.2178951413162879E-4</v>
      </c>
      <c r="X9">
        <f>_xlfn.COVARIANCE.S(
  INDEX(Excess_Returns!$C$3:$V$62,0,MATCH($H9,Excess_Returns!$C$1:$V$1,0)),
  INDEX(Excess_Returns!$C$3:$V$62,0,MATCH(X$2,Excess_Returns!$C$1:$V$1,0))
)</f>
        <v>9.4751025336822412E-4</v>
      </c>
      <c r="Y9">
        <f>_xlfn.COVARIANCE.S(
  INDEX(Excess_Returns!$C$3:$V$62,0,MATCH($H9,Excess_Returns!$C$1:$V$1,0)),
  INDEX(Excess_Returns!$C$3:$V$62,0,MATCH(Y$2,Excess_Returns!$C$1:$V$1,0))
)</f>
        <v>1.5945272923012731E-3</v>
      </c>
      <c r="Z9">
        <f>_xlfn.COVARIANCE.S(
  INDEX(Excess_Returns!$C$3:$V$62,0,MATCH($H9,Excess_Returns!$C$1:$V$1,0)),
  INDEX(Excess_Returns!$C$3:$V$62,0,MATCH(Z$2,Excess_Returns!$C$1:$V$1,0))
)</f>
        <v>1.6547678467028536E-3</v>
      </c>
      <c r="AA9">
        <f>_xlfn.COVARIANCE.S(
  INDEX(Excess_Returns!$C$3:$V$62,0,MATCH($H9,Excess_Returns!$C$1:$V$1,0)),
  INDEX(Excess_Returns!$C$3:$V$62,0,MATCH(AA$2,Excess_Returns!$C$1:$V$1,0))
)</f>
        <v>2.6632855459674072E-3</v>
      </c>
      <c r="AB9">
        <f>_xlfn.COVARIANCE.S(
  INDEX(Excess_Returns!$C$3:$V$62,0,MATCH($H9,Excess_Returns!$C$1:$V$1,0)),
  INDEX(Excess_Returns!$C$3:$V$62,0,MATCH(AB$2,Excess_Returns!$C$1:$V$1,0))
)</f>
        <v>1.6676871091489093E-3</v>
      </c>
    </row>
    <row r="10" spans="1:28" x14ac:dyDescent="0.2">
      <c r="A10" t="s">
        <v>70</v>
      </c>
      <c r="B10">
        <f>AVERAGE(Excess_Returns!J$2:J$62)</f>
        <v>1.392524836795089E-2</v>
      </c>
      <c r="C10">
        <f>_xlfn.STDEV.S(Excess_Returns!J2:J62)</f>
        <v>5.949157984463601E-2</v>
      </c>
      <c r="E10">
        <f>SLOPE(Excess_Returns!$C$3:$C$62,Excess_Returns!$B$3:$B$62)</f>
        <v>1.236533851994768</v>
      </c>
      <c r="H10" t="str" cm="1">
        <f t="array" ref="H10">INDEX($A$3:$A$22, ROWS($H$3:H10))</f>
        <v>UNH.US</v>
      </c>
      <c r="I10">
        <f>_xlfn.COVARIANCE.S(
  INDEX(Excess_Returns!$C$3:$V$62,0,MATCH($H10,Excess_Returns!$C$1:$V$1,0)),
  INDEX(Excess_Returns!$C$3:$V$62,0,MATCH(I$2,Excess_Returns!$C$1:$V$1,0))
)</f>
        <v>1.9319126602852399E-3</v>
      </c>
      <c r="J10">
        <f>_xlfn.COVARIANCE.S(
  INDEX(Excess_Returns!$C$3:$V$62,0,MATCH($H10,Excess_Returns!$C$1:$V$1,0)),
  INDEX(Excess_Returns!$C$3:$V$62,0,MATCH(J$2,Excess_Returns!$C$1:$V$1,0))
)</f>
        <v>1.3398784308392597E-3</v>
      </c>
      <c r="K10">
        <f>_xlfn.COVARIANCE.S(
  INDEX(Excess_Returns!$C$3:$V$62,0,MATCH($H10,Excess_Returns!$C$1:$V$1,0)),
  INDEX(Excess_Returns!$C$3:$V$62,0,MATCH(K$2,Excess_Returns!$C$1:$V$1,0))
)</f>
        <v>1.2042157289617972E-3</v>
      </c>
      <c r="L10">
        <f>_xlfn.COVARIANCE.S(
  INDEX(Excess_Returns!$C$3:$V$62,0,MATCH($H10,Excess_Returns!$C$1:$V$1,0)),
  INDEX(Excess_Returns!$C$3:$V$62,0,MATCH(L$2,Excess_Returns!$C$1:$V$1,0))
)</f>
        <v>-3.1129228998900232E-5</v>
      </c>
      <c r="M10">
        <f>_xlfn.COVARIANCE.S(
  INDEX(Excess_Returns!$C$3:$V$62,0,MATCH($H10,Excess_Returns!$C$1:$V$1,0)),
  INDEX(Excess_Returns!$C$3:$V$62,0,MATCH(M$2,Excess_Returns!$C$1:$V$1,0))
)</f>
        <v>3.051324887392818E-4</v>
      </c>
      <c r="N10">
        <f>_xlfn.COVARIANCE.S(
  INDEX(Excess_Returns!$C$3:$V$62,0,MATCH($H10,Excess_Returns!$C$1:$V$1,0)),
  INDEX(Excess_Returns!$C$3:$V$62,0,MATCH(N$2,Excess_Returns!$C$1:$V$1,0))
)</f>
        <v>1.7586099783029807E-3</v>
      </c>
      <c r="O10">
        <f>_xlfn.COVARIANCE.S(
  INDEX(Excess_Returns!$C$3:$V$62,0,MATCH($H10,Excess_Returns!$C$1:$V$1,0)),
  INDEX(Excess_Returns!$C$3:$V$62,0,MATCH(O$2,Excess_Returns!$C$1:$V$1,0))
)</f>
        <v>2.1958095152711274E-3</v>
      </c>
      <c r="P10">
        <f>_xlfn.COVARIANCE.S(
  INDEX(Excess_Returns!$C$3:$V$62,0,MATCH($H10,Excess_Returns!$C$1:$V$1,0)),
  INDEX(Excess_Returns!$C$3:$V$62,0,MATCH(P$2,Excess_Returns!$C$1:$V$1,0))
)</f>
        <v>3.5392480724107025E-3</v>
      </c>
      <c r="Q10">
        <f>_xlfn.COVARIANCE.S(
  INDEX(Excess_Returns!$C$3:$V$62,0,MATCH($H10,Excess_Returns!$C$1:$V$1,0)),
  INDEX(Excess_Returns!$C$3:$V$62,0,MATCH(Q$2,Excess_Returns!$C$1:$V$1,0))
)</f>
        <v>1.3014963911653994E-3</v>
      </c>
      <c r="R10">
        <f>_xlfn.COVARIANCE.S(
  INDEX(Excess_Returns!$C$3:$V$62,0,MATCH($H10,Excess_Returns!$C$1:$V$1,0)),
  INDEX(Excess_Returns!$C$3:$V$62,0,MATCH(R$2,Excess_Returns!$C$1:$V$1,0))
)</f>
        <v>1.8037473051008839E-3</v>
      </c>
      <c r="S10">
        <f>_xlfn.COVARIANCE.S(
  INDEX(Excess_Returns!$C$3:$V$62,0,MATCH($H10,Excess_Returns!$C$1:$V$1,0)),
  INDEX(Excess_Returns!$C$3:$V$62,0,MATCH(S$2,Excess_Returns!$C$1:$V$1,0))
)</f>
        <v>1.8074403962402897E-3</v>
      </c>
      <c r="T10">
        <f>_xlfn.COVARIANCE.S(
  INDEX(Excess_Returns!$C$3:$V$62,0,MATCH($H10,Excess_Returns!$C$1:$V$1,0)),
  INDEX(Excess_Returns!$C$3:$V$62,0,MATCH(T$2,Excess_Returns!$C$1:$V$1,0))
)</f>
        <v>2.6112085578771007E-3</v>
      </c>
      <c r="U10">
        <f>_xlfn.COVARIANCE.S(
  INDEX(Excess_Returns!$C$3:$V$62,0,MATCH($H10,Excess_Returns!$C$1:$V$1,0)),
  INDEX(Excess_Returns!$C$3:$V$62,0,MATCH(U$2,Excess_Returns!$C$1:$V$1,0))
)</f>
        <v>2.3427401482277992E-3</v>
      </c>
      <c r="V10">
        <f>_xlfn.COVARIANCE.S(
  INDEX(Excess_Returns!$C$3:$V$62,0,MATCH($H10,Excess_Returns!$C$1:$V$1,0)),
  INDEX(Excess_Returns!$C$3:$V$62,0,MATCH(V$2,Excess_Returns!$C$1:$V$1,0))
)</f>
        <v>2.9694773218466009E-3</v>
      </c>
      <c r="W10">
        <f>_xlfn.COVARIANCE.S(
  INDEX(Excess_Returns!$C$3:$V$62,0,MATCH($H10,Excess_Returns!$C$1:$V$1,0)),
  INDEX(Excess_Returns!$C$3:$V$62,0,MATCH(W$2,Excess_Returns!$C$1:$V$1,0))
)</f>
        <v>2.5534764841328062E-3</v>
      </c>
      <c r="X10">
        <f>_xlfn.COVARIANCE.S(
  INDEX(Excess_Returns!$C$3:$V$62,0,MATCH($H10,Excess_Returns!$C$1:$V$1,0)),
  INDEX(Excess_Returns!$C$3:$V$62,0,MATCH(X$2,Excess_Returns!$C$1:$V$1,0))
)</f>
        <v>9.3911504326880089E-4</v>
      </c>
      <c r="Y10">
        <f>_xlfn.COVARIANCE.S(
  INDEX(Excess_Returns!$C$3:$V$62,0,MATCH($H10,Excess_Returns!$C$1:$V$1,0)),
  INDEX(Excess_Returns!$C$3:$V$62,0,MATCH(Y$2,Excess_Returns!$C$1:$V$1,0))
)</f>
        <v>3.2709082710920441E-3</v>
      </c>
      <c r="Z10">
        <f>_xlfn.COVARIANCE.S(
  INDEX(Excess_Returns!$C$3:$V$62,0,MATCH($H10,Excess_Returns!$C$1:$V$1,0)),
  INDEX(Excess_Returns!$C$3:$V$62,0,MATCH(Z$2,Excess_Returns!$C$1:$V$1,0))
)</f>
        <v>2.0038193376423776E-3</v>
      </c>
      <c r="AA10">
        <f>_xlfn.COVARIANCE.S(
  INDEX(Excess_Returns!$C$3:$V$62,0,MATCH($H10,Excess_Returns!$C$1:$V$1,0)),
  INDEX(Excess_Returns!$C$3:$V$62,0,MATCH(AA$2,Excess_Returns!$C$1:$V$1,0))
)</f>
        <v>1.9025988584714178E-3</v>
      </c>
      <c r="AB10">
        <f>_xlfn.COVARIANCE.S(
  INDEX(Excess_Returns!$C$3:$V$62,0,MATCH($H10,Excess_Returns!$C$1:$V$1,0)),
  INDEX(Excess_Returns!$C$3:$V$62,0,MATCH(AB$2,Excess_Returns!$C$1:$V$1,0))
)</f>
        <v>1.6076723799843631E-3</v>
      </c>
    </row>
    <row r="11" spans="1:28" x14ac:dyDescent="0.2">
      <c r="A11" t="s">
        <v>71</v>
      </c>
      <c r="B11">
        <f>AVERAGE(Excess_Returns!K$2:K$62)</f>
        <v>4.984027367793447E-3</v>
      </c>
      <c r="C11">
        <f>_xlfn.STDEV.S(Excess_Returns!K2:K62)</f>
        <v>6.2855962686256123E-2</v>
      </c>
      <c r="E11">
        <f>SLOPE(Excess_Returns!$C$3:$C$62,Excess_Returns!$B$3:$B$62)</f>
        <v>1.236533851994768</v>
      </c>
      <c r="H11" t="str" cm="1">
        <f t="array" ref="H11">INDEX($A$3:$A$22, ROWS($H$3:H11))</f>
        <v>MRK.US</v>
      </c>
      <c r="I11">
        <f>_xlfn.COVARIANCE.S(
  INDEX(Excess_Returns!$C$3:$V$62,0,MATCH($H11,Excess_Returns!$C$1:$V$1,0)),
  INDEX(Excess_Returns!$C$3:$V$62,0,MATCH(I$2,Excess_Returns!$C$1:$V$1,0))
)</f>
        <v>7.1925051069600572E-4</v>
      </c>
      <c r="J11">
        <f>_xlfn.COVARIANCE.S(
  INDEX(Excess_Returns!$C$3:$V$62,0,MATCH($H11,Excess_Returns!$C$1:$V$1,0)),
  INDEX(Excess_Returns!$C$3:$V$62,0,MATCH(J$2,Excess_Returns!$C$1:$V$1,0))
)</f>
        <v>1.0521871961512246E-3</v>
      </c>
      <c r="K11">
        <f>_xlfn.COVARIANCE.S(
  INDEX(Excess_Returns!$C$3:$V$62,0,MATCH($H11,Excess_Returns!$C$1:$V$1,0)),
  INDEX(Excess_Returns!$C$3:$V$62,0,MATCH(K$2,Excess_Returns!$C$1:$V$1,0))
)</f>
        <v>-5.039763299060607E-5</v>
      </c>
      <c r="L11">
        <f>_xlfn.COVARIANCE.S(
  INDEX(Excess_Returns!$C$3:$V$62,0,MATCH($H11,Excess_Returns!$C$1:$V$1,0)),
  INDEX(Excess_Returns!$C$3:$V$62,0,MATCH(L$2,Excess_Returns!$C$1:$V$1,0))
)</f>
        <v>3.7279363750231261E-4</v>
      </c>
      <c r="M11">
        <f>_xlfn.COVARIANCE.S(
  INDEX(Excess_Returns!$C$3:$V$62,0,MATCH($H11,Excess_Returns!$C$1:$V$1,0)),
  INDEX(Excess_Returns!$C$3:$V$62,0,MATCH(M$2,Excess_Returns!$C$1:$V$1,0))
)</f>
        <v>4.9295682988830891E-4</v>
      </c>
      <c r="N11">
        <f>_xlfn.COVARIANCE.S(
  INDEX(Excess_Returns!$C$3:$V$62,0,MATCH($H11,Excess_Returns!$C$1:$V$1,0)),
  INDEX(Excess_Returns!$C$3:$V$62,0,MATCH(N$2,Excess_Returns!$C$1:$V$1,0))
)</f>
        <v>1.5497973145619773E-3</v>
      </c>
      <c r="O11">
        <f>_xlfn.COVARIANCE.S(
  INDEX(Excess_Returns!$C$3:$V$62,0,MATCH($H11,Excess_Returns!$C$1:$V$1,0)),
  INDEX(Excess_Returns!$C$3:$V$62,0,MATCH(O$2,Excess_Returns!$C$1:$V$1,0))
)</f>
        <v>6.4809977725040679E-4</v>
      </c>
      <c r="P11">
        <f>_xlfn.COVARIANCE.S(
  INDEX(Excess_Returns!$C$3:$V$62,0,MATCH($H11,Excess_Returns!$C$1:$V$1,0)),
  INDEX(Excess_Returns!$C$3:$V$62,0,MATCH(P$2,Excess_Returns!$C$1:$V$1,0))
)</f>
        <v>1.3014963911653994E-3</v>
      </c>
      <c r="Q11">
        <f>_xlfn.COVARIANCE.S(
  INDEX(Excess_Returns!$C$3:$V$62,0,MATCH($H11,Excess_Returns!$C$1:$V$1,0)),
  INDEX(Excess_Returns!$C$3:$V$62,0,MATCH(Q$2,Excess_Returns!$C$1:$V$1,0))
)</f>
        <v>3.9508720452160195E-3</v>
      </c>
      <c r="R11">
        <f>_xlfn.COVARIANCE.S(
  INDEX(Excess_Returns!$C$3:$V$62,0,MATCH($H11,Excess_Returns!$C$1:$V$1,0)),
  INDEX(Excess_Returns!$C$3:$V$62,0,MATCH(R$2,Excess_Returns!$C$1:$V$1,0))
)</f>
        <v>1.0501671767790901E-3</v>
      </c>
      <c r="S11">
        <f>_xlfn.COVARIANCE.S(
  INDEX(Excess_Returns!$C$3:$V$62,0,MATCH($H11,Excess_Returns!$C$1:$V$1,0)),
  INDEX(Excess_Returns!$C$3:$V$62,0,MATCH(S$2,Excess_Returns!$C$1:$V$1,0))
)</f>
        <v>2.386272256967538E-3</v>
      </c>
      <c r="T11">
        <f>_xlfn.COVARIANCE.S(
  INDEX(Excess_Returns!$C$3:$V$62,0,MATCH($H11,Excess_Returns!$C$1:$V$1,0)),
  INDEX(Excess_Returns!$C$3:$V$62,0,MATCH(T$2,Excess_Returns!$C$1:$V$1,0))
)</f>
        <v>2.1139717669932554E-3</v>
      </c>
      <c r="U11">
        <f>_xlfn.COVARIANCE.S(
  INDEX(Excess_Returns!$C$3:$V$62,0,MATCH($H11,Excess_Returns!$C$1:$V$1,0)),
  INDEX(Excess_Returns!$C$3:$V$62,0,MATCH(U$2,Excess_Returns!$C$1:$V$1,0))
)</f>
        <v>2.2866650757255281E-3</v>
      </c>
      <c r="V11">
        <f>_xlfn.COVARIANCE.S(
  INDEX(Excess_Returns!$C$3:$V$62,0,MATCH($H11,Excess_Returns!$C$1:$V$1,0)),
  INDEX(Excess_Returns!$C$3:$V$62,0,MATCH(V$2,Excess_Returns!$C$1:$V$1,0))
)</f>
        <v>3.2348074719072595E-3</v>
      </c>
      <c r="W11">
        <f>_xlfn.COVARIANCE.S(
  INDEX(Excess_Returns!$C$3:$V$62,0,MATCH($H11,Excess_Returns!$C$1:$V$1,0)),
  INDEX(Excess_Returns!$C$3:$V$62,0,MATCH(W$2,Excess_Returns!$C$1:$V$1,0))
)</f>
        <v>2.3734688831134323E-3</v>
      </c>
      <c r="X11">
        <f>_xlfn.COVARIANCE.S(
  INDEX(Excess_Returns!$C$3:$V$62,0,MATCH($H11,Excess_Returns!$C$1:$V$1,0)),
  INDEX(Excess_Returns!$C$3:$V$62,0,MATCH(X$2,Excess_Returns!$C$1:$V$1,0))
)</f>
        <v>-4.6923407252057766E-4</v>
      </c>
      <c r="Y11">
        <f>_xlfn.COVARIANCE.S(
  INDEX(Excess_Returns!$C$3:$V$62,0,MATCH($H11,Excess_Returns!$C$1:$V$1,0)),
  INDEX(Excess_Returns!$C$3:$V$62,0,MATCH(Y$2,Excess_Returns!$C$1:$V$1,0))
)</f>
        <v>3.7774896335380224E-6</v>
      </c>
      <c r="Z11">
        <f>_xlfn.COVARIANCE.S(
  INDEX(Excess_Returns!$C$3:$V$62,0,MATCH($H11,Excess_Returns!$C$1:$V$1,0)),
  INDEX(Excess_Returns!$C$3:$V$62,0,MATCH(Z$2,Excess_Returns!$C$1:$V$1,0))
)</f>
        <v>1.8897469201270554E-3</v>
      </c>
      <c r="AA11">
        <f>_xlfn.COVARIANCE.S(
  INDEX(Excess_Returns!$C$3:$V$62,0,MATCH($H11,Excess_Returns!$C$1:$V$1,0)),
  INDEX(Excess_Returns!$C$3:$V$62,0,MATCH(AA$2,Excess_Returns!$C$1:$V$1,0))
)</f>
        <v>1.2416496038981048E-3</v>
      </c>
      <c r="AB11">
        <f>_xlfn.COVARIANCE.S(
  INDEX(Excess_Returns!$C$3:$V$62,0,MATCH($H11,Excess_Returns!$C$1:$V$1,0)),
  INDEX(Excess_Returns!$C$3:$V$62,0,MATCH(AB$2,Excess_Returns!$C$1:$V$1,0))
)</f>
        <v>1.3310303349389496E-3</v>
      </c>
    </row>
    <row r="12" spans="1:28" x14ac:dyDescent="0.2">
      <c r="A12" t="s">
        <v>72</v>
      </c>
      <c r="B12">
        <f>AVERAGE(Excess_Returns!L$2:L$62)</f>
        <v>1.5017195171744324E-2</v>
      </c>
      <c r="C12">
        <f>_xlfn.STDEV.S(Excess_Returns!L2:L62)</f>
        <v>7.0640958140927287E-2</v>
      </c>
      <c r="E12">
        <f>SLOPE(Excess_Returns!$C$3:$C$62,Excess_Returns!$B$3:$B$62)</f>
        <v>1.236533851994768</v>
      </c>
      <c r="H12" t="str" cm="1">
        <f t="array" ref="H12">INDEX($A$3:$A$22, ROWS($H$3:H12))</f>
        <v>ABBV.US</v>
      </c>
      <c r="I12">
        <f>_xlfn.COVARIANCE.S(
  INDEX(Excess_Returns!$C$3:$V$62,0,MATCH($H12,Excess_Returns!$C$1:$V$1,0)),
  INDEX(Excess_Returns!$C$3:$V$62,0,MATCH(I$2,Excess_Returns!$C$1:$V$1,0))
)</f>
        <v>1.1202053262557264E-3</v>
      </c>
      <c r="J12">
        <f>_xlfn.COVARIANCE.S(
  INDEX(Excess_Returns!$C$3:$V$62,0,MATCH($H12,Excess_Returns!$C$1:$V$1,0)),
  INDEX(Excess_Returns!$C$3:$V$62,0,MATCH(J$2,Excess_Returns!$C$1:$V$1,0))
)</f>
        <v>9.9543026492072799E-4</v>
      </c>
      <c r="K12">
        <f>_xlfn.COVARIANCE.S(
  INDEX(Excess_Returns!$C$3:$V$62,0,MATCH($H12,Excess_Returns!$C$1:$V$1,0)),
  INDEX(Excess_Returns!$C$3:$V$62,0,MATCH(K$2,Excess_Returns!$C$1:$V$1,0))
)</f>
        <v>1.4256920891351354E-3</v>
      </c>
      <c r="L12">
        <f>_xlfn.COVARIANCE.S(
  INDEX(Excess_Returns!$C$3:$V$62,0,MATCH($H12,Excess_Returns!$C$1:$V$1,0)),
  INDEX(Excess_Returns!$C$3:$V$62,0,MATCH(L$2,Excess_Returns!$C$1:$V$1,0))
)</f>
        <v>1.7929498314294744E-3</v>
      </c>
      <c r="M12">
        <f>_xlfn.COVARIANCE.S(
  INDEX(Excess_Returns!$C$3:$V$62,0,MATCH($H12,Excess_Returns!$C$1:$V$1,0)),
  INDEX(Excess_Returns!$C$3:$V$62,0,MATCH(M$2,Excess_Returns!$C$1:$V$1,0))
)</f>
        <v>1.3171842938178367E-3</v>
      </c>
      <c r="N12">
        <f>_xlfn.COVARIANCE.S(
  INDEX(Excess_Returns!$C$3:$V$62,0,MATCH($H12,Excess_Returns!$C$1:$V$1,0)),
  INDEX(Excess_Returns!$C$3:$V$62,0,MATCH(N$2,Excess_Returns!$C$1:$V$1,0))
)</f>
        <v>1.6649285437346597E-3</v>
      </c>
      <c r="O12">
        <f>_xlfn.COVARIANCE.S(
  INDEX(Excess_Returns!$C$3:$V$62,0,MATCH($H12,Excess_Returns!$C$1:$V$1,0)),
  INDEX(Excess_Returns!$C$3:$V$62,0,MATCH(O$2,Excess_Returns!$C$1:$V$1,0))
)</f>
        <v>2.0478259013670249E-3</v>
      </c>
      <c r="P12">
        <f>_xlfn.COVARIANCE.S(
  INDEX(Excess_Returns!$C$3:$V$62,0,MATCH($H12,Excess_Returns!$C$1:$V$1,0)),
  INDEX(Excess_Returns!$C$3:$V$62,0,MATCH(P$2,Excess_Returns!$C$1:$V$1,0))
)</f>
        <v>1.8037473051008839E-3</v>
      </c>
      <c r="Q12">
        <f>_xlfn.COVARIANCE.S(
  INDEX(Excess_Returns!$C$3:$V$62,0,MATCH($H12,Excess_Returns!$C$1:$V$1,0)),
  INDEX(Excess_Returns!$C$3:$V$62,0,MATCH(Q$2,Excess_Returns!$C$1:$V$1,0))
)</f>
        <v>1.0501671767790901E-3</v>
      </c>
      <c r="R12">
        <f>_xlfn.COVARIANCE.S(
  INDEX(Excess_Returns!$C$3:$V$62,0,MATCH($H12,Excess_Returns!$C$1:$V$1,0)),
  INDEX(Excess_Returns!$C$3:$V$62,0,MATCH(R$2,Excess_Returns!$C$1:$V$1,0))
)</f>
        <v>4.9901449670682399E-3</v>
      </c>
      <c r="S12">
        <f>_xlfn.COVARIANCE.S(
  INDEX(Excess_Returns!$C$3:$V$62,0,MATCH($H12,Excess_Returns!$C$1:$V$1,0)),
  INDEX(Excess_Returns!$C$3:$V$62,0,MATCH(S$2,Excess_Returns!$C$1:$V$1,0))
)</f>
        <v>2.3441607252556399E-3</v>
      </c>
      <c r="T12">
        <f>_xlfn.COVARIANCE.S(
  INDEX(Excess_Returns!$C$3:$V$62,0,MATCH($H12,Excess_Returns!$C$1:$V$1,0)),
  INDEX(Excess_Returns!$C$3:$V$62,0,MATCH(T$2,Excess_Returns!$C$1:$V$1,0))
)</f>
        <v>3.214595765458109E-3</v>
      </c>
      <c r="U12">
        <f>_xlfn.COVARIANCE.S(
  INDEX(Excess_Returns!$C$3:$V$62,0,MATCH($H12,Excess_Returns!$C$1:$V$1,0)),
  INDEX(Excess_Returns!$C$3:$V$62,0,MATCH(U$2,Excess_Returns!$C$1:$V$1,0))
)</f>
        <v>3.2267979931452791E-3</v>
      </c>
      <c r="V12">
        <f>_xlfn.COVARIANCE.S(
  INDEX(Excess_Returns!$C$3:$V$62,0,MATCH($H12,Excess_Returns!$C$1:$V$1,0)),
  INDEX(Excess_Returns!$C$3:$V$62,0,MATCH(V$2,Excess_Returns!$C$1:$V$1,0))
)</f>
        <v>4.6383911339960742E-3</v>
      </c>
      <c r="W12">
        <f>_xlfn.COVARIANCE.S(
  INDEX(Excess_Returns!$C$3:$V$62,0,MATCH($H12,Excess_Returns!$C$1:$V$1,0)),
  INDEX(Excess_Returns!$C$3:$V$62,0,MATCH(W$2,Excess_Returns!$C$1:$V$1,0))
)</f>
        <v>5.3399649798923461E-3</v>
      </c>
      <c r="X12">
        <f>_xlfn.COVARIANCE.S(
  INDEX(Excess_Returns!$C$3:$V$62,0,MATCH($H12,Excess_Returns!$C$1:$V$1,0)),
  INDEX(Excess_Returns!$C$3:$V$62,0,MATCH(X$2,Excess_Returns!$C$1:$V$1,0))
)</f>
        <v>-2.7648259330457646E-4</v>
      </c>
      <c r="Y12">
        <f>_xlfn.COVARIANCE.S(
  INDEX(Excess_Returns!$C$3:$V$62,0,MATCH($H12,Excess_Returns!$C$1:$V$1,0)),
  INDEX(Excess_Returns!$C$3:$V$62,0,MATCH(Y$2,Excess_Returns!$C$1:$V$1,0))
)</f>
        <v>6.8891206546290622E-4</v>
      </c>
      <c r="Z12">
        <f>_xlfn.COVARIANCE.S(
  INDEX(Excess_Returns!$C$3:$V$62,0,MATCH($H12,Excess_Returns!$C$1:$V$1,0)),
  INDEX(Excess_Returns!$C$3:$V$62,0,MATCH(Z$2,Excess_Returns!$C$1:$V$1,0))
)</f>
        <v>1.4333992140475587E-3</v>
      </c>
      <c r="AA12">
        <f>_xlfn.COVARIANCE.S(
  INDEX(Excess_Returns!$C$3:$V$62,0,MATCH($H12,Excess_Returns!$C$1:$V$1,0)),
  INDEX(Excess_Returns!$C$3:$V$62,0,MATCH(AA$2,Excess_Returns!$C$1:$V$1,0))
)</f>
        <v>1.4060593301701337E-3</v>
      </c>
      <c r="AB12">
        <f>_xlfn.COVARIANCE.S(
  INDEX(Excess_Returns!$C$3:$V$62,0,MATCH($H12,Excess_Returns!$C$1:$V$1,0)),
  INDEX(Excess_Returns!$C$3:$V$62,0,MATCH(AB$2,Excess_Returns!$C$1:$V$1,0))
)</f>
        <v>9.3339226022369297E-4</v>
      </c>
    </row>
    <row r="13" spans="1:28" x14ac:dyDescent="0.2">
      <c r="A13" t="s">
        <v>73</v>
      </c>
      <c r="B13">
        <f>AVERAGE(Excess_Returns!M$2:M$62)</f>
        <v>1.4769299533916085E-2</v>
      </c>
      <c r="C13">
        <f>_xlfn.STDEV.S(Excess_Returns!M2:M62)</f>
        <v>9.8390261753722993E-2</v>
      </c>
      <c r="E13">
        <f>SLOPE(Excess_Returns!$C$3:$C$62,Excess_Returns!$B$3:$B$62)</f>
        <v>1.236533851994768</v>
      </c>
      <c r="H13" t="str" cm="1">
        <f t="array" ref="H13">INDEX($A$3:$A$22, ROWS($H$3:H13))</f>
        <v>XOM.US</v>
      </c>
      <c r="I13">
        <f>_xlfn.COVARIANCE.S(
  INDEX(Excess_Returns!$C$3:$V$62,0,MATCH($H13,Excess_Returns!$C$1:$V$1,0)),
  INDEX(Excess_Returns!$C$3:$V$62,0,MATCH(I$2,Excess_Returns!$C$1:$V$1,0))
)</f>
        <v>1.6164835700382487E-3</v>
      </c>
      <c r="J13">
        <f>_xlfn.COVARIANCE.S(
  INDEX(Excess_Returns!$C$3:$V$62,0,MATCH($H13,Excess_Returns!$C$1:$V$1,0)),
  INDEX(Excess_Returns!$C$3:$V$62,0,MATCH(J$2,Excess_Returns!$C$1:$V$1,0))
)</f>
        <v>7.9673428743316105E-4</v>
      </c>
      <c r="K13">
        <f>_xlfn.COVARIANCE.S(
  INDEX(Excess_Returns!$C$3:$V$62,0,MATCH($H13,Excess_Returns!$C$1:$V$1,0)),
  INDEX(Excess_Returns!$C$3:$V$62,0,MATCH(K$2,Excess_Returns!$C$1:$V$1,0))
)</f>
        <v>1.8543944019297264E-3</v>
      </c>
      <c r="L13">
        <f>_xlfn.COVARIANCE.S(
  INDEX(Excess_Returns!$C$3:$V$62,0,MATCH($H13,Excess_Returns!$C$1:$V$1,0)),
  INDEX(Excess_Returns!$C$3:$V$62,0,MATCH(L$2,Excess_Returns!$C$1:$V$1,0))
)</f>
        <v>5.1333034871922188E-5</v>
      </c>
      <c r="M13">
        <f>_xlfn.COVARIANCE.S(
  INDEX(Excess_Returns!$C$3:$V$62,0,MATCH($H13,Excess_Returns!$C$1:$V$1,0)),
  INDEX(Excess_Returns!$C$3:$V$62,0,MATCH(M$2,Excess_Returns!$C$1:$V$1,0))
)</f>
        <v>-3.5287720909599782E-4</v>
      </c>
      <c r="N13">
        <f>_xlfn.COVARIANCE.S(
  INDEX(Excess_Returns!$C$3:$V$62,0,MATCH($H13,Excess_Returns!$C$1:$V$1,0)),
  INDEX(Excess_Returns!$C$3:$V$62,0,MATCH(N$2,Excess_Returns!$C$1:$V$1,0))
)</f>
        <v>1.7286382696614451E-3</v>
      </c>
      <c r="O13">
        <f>_xlfn.COVARIANCE.S(
  INDEX(Excess_Returns!$C$3:$V$62,0,MATCH($H13,Excess_Returns!$C$1:$V$1,0)),
  INDEX(Excess_Returns!$C$3:$V$62,0,MATCH(O$2,Excess_Returns!$C$1:$V$1,0))
)</f>
        <v>9.0202994159800708E-4</v>
      </c>
      <c r="P13">
        <f>_xlfn.COVARIANCE.S(
  INDEX(Excess_Returns!$C$3:$V$62,0,MATCH($H13,Excess_Returns!$C$1:$V$1,0)),
  INDEX(Excess_Returns!$C$3:$V$62,0,MATCH(P$2,Excess_Returns!$C$1:$V$1,0))
)</f>
        <v>1.8074403962402897E-3</v>
      </c>
      <c r="Q13">
        <f>_xlfn.COVARIANCE.S(
  INDEX(Excess_Returns!$C$3:$V$62,0,MATCH($H13,Excess_Returns!$C$1:$V$1,0)),
  INDEX(Excess_Returns!$C$3:$V$62,0,MATCH(Q$2,Excess_Returns!$C$1:$V$1,0))
)</f>
        <v>2.386272256967538E-3</v>
      </c>
      <c r="R13">
        <f>_xlfn.COVARIANCE.S(
  INDEX(Excess_Returns!$C$3:$V$62,0,MATCH($H13,Excess_Returns!$C$1:$V$1,0)),
  INDEX(Excess_Returns!$C$3:$V$62,0,MATCH(R$2,Excess_Returns!$C$1:$V$1,0))
)</f>
        <v>2.3441607252556399E-3</v>
      </c>
      <c r="S13">
        <f>_xlfn.COVARIANCE.S(
  INDEX(Excess_Returns!$C$3:$V$62,0,MATCH($H13,Excess_Returns!$C$1:$V$1,0)),
  INDEX(Excess_Returns!$C$3:$V$62,0,MATCH(S$2,Excess_Returns!$C$1:$V$1,0))
)</f>
        <v>9.680643607966128E-3</v>
      </c>
      <c r="T13">
        <f>_xlfn.COVARIANCE.S(
  INDEX(Excess_Returns!$C$3:$V$62,0,MATCH($H13,Excess_Returns!$C$1:$V$1,0)),
  INDEX(Excess_Returns!$C$3:$V$62,0,MATCH(T$2,Excess_Returns!$C$1:$V$1,0))
)</f>
        <v>8.4817418320864927E-3</v>
      </c>
      <c r="U13">
        <f>_xlfn.COVARIANCE.S(
  INDEX(Excess_Returns!$C$3:$V$62,0,MATCH($H13,Excess_Returns!$C$1:$V$1,0)),
  INDEX(Excess_Returns!$C$3:$V$62,0,MATCH(U$2,Excess_Returns!$C$1:$V$1,0))
)</f>
        <v>1.0992186846645111E-2</v>
      </c>
      <c r="V13">
        <f>_xlfn.COVARIANCE.S(
  INDEX(Excess_Returns!$C$3:$V$62,0,MATCH($H13,Excess_Returns!$C$1:$V$1,0)),
  INDEX(Excess_Returns!$C$3:$V$62,0,MATCH(V$2,Excess_Returns!$C$1:$V$1,0))
)</f>
        <v>1.2485720662701188E-2</v>
      </c>
      <c r="W13">
        <f>_xlfn.COVARIANCE.S(
  INDEX(Excess_Returns!$C$3:$V$62,0,MATCH($H13,Excess_Returns!$C$1:$V$1,0)),
  INDEX(Excess_Returns!$C$3:$V$62,0,MATCH(W$2,Excess_Returns!$C$1:$V$1,0))
)</f>
        <v>1.4867439595804522E-2</v>
      </c>
      <c r="X13">
        <f>_xlfn.COVARIANCE.S(
  INDEX(Excess_Returns!$C$3:$V$62,0,MATCH($H13,Excess_Returns!$C$1:$V$1,0)),
  INDEX(Excess_Returns!$C$3:$V$62,0,MATCH(X$2,Excess_Returns!$C$1:$V$1,0))
)</f>
        <v>5.4427807065508252E-4</v>
      </c>
      <c r="Y13">
        <f>_xlfn.COVARIANCE.S(
  INDEX(Excess_Returns!$C$3:$V$62,0,MATCH($H13,Excess_Returns!$C$1:$V$1,0)),
  INDEX(Excess_Returns!$C$3:$V$62,0,MATCH(Y$2,Excess_Returns!$C$1:$V$1,0))
)</f>
        <v>1.7619987238964004E-3</v>
      </c>
      <c r="Z13">
        <f>_xlfn.COVARIANCE.S(
  INDEX(Excess_Returns!$C$3:$V$62,0,MATCH($H13,Excess_Returns!$C$1:$V$1,0)),
  INDEX(Excess_Returns!$C$3:$V$62,0,MATCH(Z$2,Excess_Returns!$C$1:$V$1,0))
)</f>
        <v>2.0196592184026103E-3</v>
      </c>
      <c r="AA13">
        <f>_xlfn.COVARIANCE.S(
  INDEX(Excess_Returns!$C$3:$V$62,0,MATCH($H13,Excess_Returns!$C$1:$V$1,0)),
  INDEX(Excess_Returns!$C$3:$V$62,0,MATCH(AA$2,Excess_Returns!$C$1:$V$1,0))
)</f>
        <v>1.7215223901909068E-3</v>
      </c>
      <c r="AB13">
        <f>_xlfn.COVARIANCE.S(
  INDEX(Excess_Returns!$C$3:$V$62,0,MATCH($H13,Excess_Returns!$C$1:$V$1,0)),
  INDEX(Excess_Returns!$C$3:$V$62,0,MATCH(AB$2,Excess_Returns!$C$1:$V$1,0))
)</f>
        <v>2.0915720190362993E-3</v>
      </c>
    </row>
    <row r="14" spans="1:28" x14ac:dyDescent="0.2">
      <c r="A14" t="s">
        <v>74</v>
      </c>
      <c r="B14">
        <f>AVERAGE(Excess_Returns!N$2:N$62)</f>
        <v>1.0201657664542013E-2</v>
      </c>
      <c r="C14">
        <f>_xlfn.STDEV.S(Excess_Returns!N2:N62)</f>
        <v>9.6930882401685847E-2</v>
      </c>
      <c r="E14">
        <f>SLOPE(Excess_Returns!$C$3:$C$62,Excess_Returns!$B$3:$B$62)</f>
        <v>1.236533851994768</v>
      </c>
      <c r="H14" t="str" cm="1">
        <f t="array" ref="H14">INDEX($A$3:$A$22, ROWS($H$3:H14))</f>
        <v>CVX.US</v>
      </c>
      <c r="I14">
        <f>_xlfn.COVARIANCE.S(
  INDEX(Excess_Returns!$C$3:$V$62,0,MATCH($H14,Excess_Returns!$C$1:$V$1,0)),
  INDEX(Excess_Returns!$C$3:$V$62,0,MATCH(I$2,Excess_Returns!$C$1:$V$1,0))
)</f>
        <v>2.3204323598445837E-3</v>
      </c>
      <c r="J14">
        <f>_xlfn.COVARIANCE.S(
  INDEX(Excess_Returns!$C$3:$V$62,0,MATCH($H14,Excess_Returns!$C$1:$V$1,0)),
  INDEX(Excess_Returns!$C$3:$V$62,0,MATCH(J$2,Excess_Returns!$C$1:$V$1,0))
)</f>
        <v>1.3613612205470996E-3</v>
      </c>
      <c r="K14">
        <f>_xlfn.COVARIANCE.S(
  INDEX(Excess_Returns!$C$3:$V$62,0,MATCH($H14,Excess_Returns!$C$1:$V$1,0)),
  INDEX(Excess_Returns!$C$3:$V$62,0,MATCH(K$2,Excess_Returns!$C$1:$V$1,0))
)</f>
        <v>2.6431359294372334E-3</v>
      </c>
      <c r="L14">
        <f>_xlfn.COVARIANCE.S(
  INDEX(Excess_Returns!$C$3:$V$62,0,MATCH($H14,Excess_Returns!$C$1:$V$1,0)),
  INDEX(Excess_Returns!$C$3:$V$62,0,MATCH(L$2,Excess_Returns!$C$1:$V$1,0))
)</f>
        <v>1.7063606089195928E-3</v>
      </c>
      <c r="M14">
        <f>_xlfn.COVARIANCE.S(
  INDEX(Excess_Returns!$C$3:$V$62,0,MATCH($H14,Excess_Returns!$C$1:$V$1,0)),
  INDEX(Excess_Returns!$C$3:$V$62,0,MATCH(M$2,Excess_Returns!$C$1:$V$1,0))
)</f>
        <v>1.0885562854645397E-4</v>
      </c>
      <c r="N14">
        <f>_xlfn.COVARIANCE.S(
  INDEX(Excess_Returns!$C$3:$V$62,0,MATCH($H14,Excess_Returns!$C$1:$V$1,0)),
  INDEX(Excess_Returns!$C$3:$V$62,0,MATCH(N$2,Excess_Returns!$C$1:$V$1,0))
)</f>
        <v>1.9449230817772966E-3</v>
      </c>
      <c r="O14">
        <f>_xlfn.COVARIANCE.S(
  INDEX(Excess_Returns!$C$3:$V$62,0,MATCH($H14,Excess_Returns!$C$1:$V$1,0)),
  INDEX(Excess_Returns!$C$3:$V$62,0,MATCH(O$2,Excess_Returns!$C$1:$V$1,0))
)</f>
        <v>2.0992906067257159E-3</v>
      </c>
      <c r="P14">
        <f>_xlfn.COVARIANCE.S(
  INDEX(Excess_Returns!$C$3:$V$62,0,MATCH($H14,Excess_Returns!$C$1:$V$1,0)),
  INDEX(Excess_Returns!$C$3:$V$62,0,MATCH(P$2,Excess_Returns!$C$1:$V$1,0))
)</f>
        <v>2.6112085578771007E-3</v>
      </c>
      <c r="Q14">
        <f>_xlfn.COVARIANCE.S(
  INDEX(Excess_Returns!$C$3:$V$62,0,MATCH($H14,Excess_Returns!$C$1:$V$1,0)),
  INDEX(Excess_Returns!$C$3:$V$62,0,MATCH(Q$2,Excess_Returns!$C$1:$V$1,0))
)</f>
        <v>2.1139717669932554E-3</v>
      </c>
      <c r="R14">
        <f>_xlfn.COVARIANCE.S(
  INDEX(Excess_Returns!$C$3:$V$62,0,MATCH($H14,Excess_Returns!$C$1:$V$1,0)),
  INDEX(Excess_Returns!$C$3:$V$62,0,MATCH(R$2,Excess_Returns!$C$1:$V$1,0))
)</f>
        <v>3.214595765458109E-3</v>
      </c>
      <c r="S14">
        <f>_xlfn.COVARIANCE.S(
  INDEX(Excess_Returns!$C$3:$V$62,0,MATCH($H14,Excess_Returns!$C$1:$V$1,0)),
  INDEX(Excess_Returns!$C$3:$V$62,0,MATCH(S$2,Excess_Returns!$C$1:$V$1,0))
)</f>
        <v>8.4817418320864927E-3</v>
      </c>
      <c r="T14">
        <f>_xlfn.COVARIANCE.S(
  INDEX(Excess_Returns!$C$3:$V$62,0,MATCH($H14,Excess_Returns!$C$1:$V$1,0)),
  INDEX(Excess_Returns!$C$3:$V$62,0,MATCH(T$2,Excess_Returns!$C$1:$V$1,0))
)</f>
        <v>9.3955959631694553E-3</v>
      </c>
      <c r="U14">
        <f>_xlfn.COVARIANCE.S(
  INDEX(Excess_Returns!$C$3:$V$62,0,MATCH($H14,Excess_Returns!$C$1:$V$1,0)),
  INDEX(Excess_Returns!$C$3:$V$62,0,MATCH(U$2,Excess_Returns!$C$1:$V$1,0))
)</f>
        <v>1.0662465058143521E-2</v>
      </c>
      <c r="V14">
        <f>_xlfn.COVARIANCE.S(
  INDEX(Excess_Returns!$C$3:$V$62,0,MATCH($H14,Excess_Returns!$C$1:$V$1,0)),
  INDEX(Excess_Returns!$C$3:$V$62,0,MATCH(V$2,Excess_Returns!$C$1:$V$1,0))
)</f>
        <v>1.1968494810842015E-2</v>
      </c>
      <c r="W14">
        <f>_xlfn.COVARIANCE.S(
  INDEX(Excess_Returns!$C$3:$V$62,0,MATCH($H14,Excess_Returns!$C$1:$V$1,0)),
  INDEX(Excess_Returns!$C$3:$V$62,0,MATCH(W$2,Excess_Returns!$C$1:$V$1,0))
)</f>
        <v>1.4440428361861071E-2</v>
      </c>
      <c r="X14">
        <f>_xlfn.COVARIANCE.S(
  INDEX(Excess_Returns!$C$3:$V$62,0,MATCH($H14,Excess_Returns!$C$1:$V$1,0)),
  INDEX(Excess_Returns!$C$3:$V$62,0,MATCH(X$2,Excess_Returns!$C$1:$V$1,0))
)</f>
        <v>1.6202148130094888E-3</v>
      </c>
      <c r="Y14">
        <f>_xlfn.COVARIANCE.S(
  INDEX(Excess_Returns!$C$3:$V$62,0,MATCH($H14,Excess_Returns!$C$1:$V$1,0)),
  INDEX(Excess_Returns!$C$3:$V$62,0,MATCH(Y$2,Excess_Returns!$C$1:$V$1,0))
)</f>
        <v>4.8080924885782967E-3</v>
      </c>
      <c r="Z14">
        <f>_xlfn.COVARIANCE.S(
  INDEX(Excess_Returns!$C$3:$V$62,0,MATCH($H14,Excess_Returns!$C$1:$V$1,0)),
  INDEX(Excess_Returns!$C$3:$V$62,0,MATCH(Z$2,Excess_Returns!$C$1:$V$1,0))
)</f>
        <v>2.6158919616690777E-3</v>
      </c>
      <c r="AA14">
        <f>_xlfn.COVARIANCE.S(
  INDEX(Excess_Returns!$C$3:$V$62,0,MATCH($H14,Excess_Returns!$C$1:$V$1,0)),
  INDEX(Excess_Returns!$C$3:$V$62,0,MATCH(AA$2,Excess_Returns!$C$1:$V$1,0))
)</f>
        <v>2.655531879749764E-3</v>
      </c>
      <c r="AB14">
        <f>_xlfn.COVARIANCE.S(
  INDEX(Excess_Returns!$C$3:$V$62,0,MATCH($H14,Excess_Returns!$C$1:$V$1,0)),
  INDEX(Excess_Returns!$C$3:$V$62,0,MATCH(AB$2,Excess_Returns!$C$1:$V$1,0))
)</f>
        <v>2.3920616910202584E-3</v>
      </c>
    </row>
    <row r="15" spans="1:28" x14ac:dyDescent="0.2">
      <c r="A15" t="s">
        <v>75</v>
      </c>
      <c r="B15">
        <f>AVERAGE(Excess_Returns!O$2:O$62)</f>
        <v>1.7545654462175035E-2</v>
      </c>
      <c r="C15">
        <f>_xlfn.STDEV.S(Excess_Returns!O2:O62)</f>
        <v>0.12803189006152058</v>
      </c>
      <c r="E15">
        <f>SLOPE(Excess_Returns!$C$3:$C$62,Excess_Returns!$B$3:$B$62)</f>
        <v>1.236533851994768</v>
      </c>
      <c r="H15" t="str" cm="1">
        <f t="array" ref="H15">INDEX($A$3:$A$22, ROWS($H$3:H15))</f>
        <v>COP.US</v>
      </c>
      <c r="I15">
        <f>_xlfn.COVARIANCE.S(
  INDEX(Excess_Returns!$C$3:$V$62,0,MATCH($H15,Excess_Returns!$C$1:$V$1,0)),
  INDEX(Excess_Returns!$C$3:$V$62,0,MATCH(I$2,Excess_Returns!$C$1:$V$1,0))
)</f>
        <v>2.0020091897905126E-3</v>
      </c>
      <c r="J15">
        <f>_xlfn.COVARIANCE.S(
  INDEX(Excess_Returns!$C$3:$V$62,0,MATCH($H15,Excess_Returns!$C$1:$V$1,0)),
  INDEX(Excess_Returns!$C$3:$V$62,0,MATCH(J$2,Excess_Returns!$C$1:$V$1,0))
)</f>
        <v>1.1241478681067458E-3</v>
      </c>
      <c r="K15">
        <f>_xlfn.COVARIANCE.S(
  INDEX(Excess_Returns!$C$3:$V$62,0,MATCH($H15,Excess_Returns!$C$1:$V$1,0)),
  INDEX(Excess_Returns!$C$3:$V$62,0,MATCH(K$2,Excess_Returns!$C$1:$V$1,0))
)</f>
        <v>3.0539485456399225E-3</v>
      </c>
      <c r="L15">
        <f>_xlfn.COVARIANCE.S(
  INDEX(Excess_Returns!$C$3:$V$62,0,MATCH($H15,Excess_Returns!$C$1:$V$1,0)),
  INDEX(Excess_Returns!$C$3:$V$62,0,MATCH(L$2,Excess_Returns!$C$1:$V$1,0))
)</f>
        <v>7.3171866211292158E-4</v>
      </c>
      <c r="M15">
        <f>_xlfn.COVARIANCE.S(
  INDEX(Excess_Returns!$C$3:$V$62,0,MATCH($H15,Excess_Returns!$C$1:$V$1,0)),
  INDEX(Excess_Returns!$C$3:$V$62,0,MATCH(M$2,Excess_Returns!$C$1:$V$1,0))
)</f>
        <v>3.0540170085488667E-4</v>
      </c>
      <c r="N15">
        <f>_xlfn.COVARIANCE.S(
  INDEX(Excess_Returns!$C$3:$V$62,0,MATCH($H15,Excess_Returns!$C$1:$V$1,0)),
  INDEX(Excess_Returns!$C$3:$V$62,0,MATCH(N$2,Excess_Returns!$C$1:$V$1,0))
)</f>
        <v>2.0394336547906585E-3</v>
      </c>
      <c r="O15">
        <f>_xlfn.COVARIANCE.S(
  INDEX(Excess_Returns!$C$3:$V$62,0,MATCH($H15,Excess_Returns!$C$1:$V$1,0)),
  INDEX(Excess_Returns!$C$3:$V$62,0,MATCH(O$2,Excess_Returns!$C$1:$V$1,0))
)</f>
        <v>1.2627411220018652E-3</v>
      </c>
      <c r="P15">
        <f>_xlfn.COVARIANCE.S(
  INDEX(Excess_Returns!$C$3:$V$62,0,MATCH($H15,Excess_Returns!$C$1:$V$1,0)),
  INDEX(Excess_Returns!$C$3:$V$62,0,MATCH(P$2,Excess_Returns!$C$1:$V$1,0))
)</f>
        <v>2.3427401482277992E-3</v>
      </c>
      <c r="Q15">
        <f>_xlfn.COVARIANCE.S(
  INDEX(Excess_Returns!$C$3:$V$62,0,MATCH($H15,Excess_Returns!$C$1:$V$1,0)),
  INDEX(Excess_Returns!$C$3:$V$62,0,MATCH(Q$2,Excess_Returns!$C$1:$V$1,0))
)</f>
        <v>2.2866650757255281E-3</v>
      </c>
      <c r="R15">
        <f>_xlfn.COVARIANCE.S(
  INDEX(Excess_Returns!$C$3:$V$62,0,MATCH($H15,Excess_Returns!$C$1:$V$1,0)),
  INDEX(Excess_Returns!$C$3:$V$62,0,MATCH(R$2,Excess_Returns!$C$1:$V$1,0))
)</f>
        <v>3.2267979931452791E-3</v>
      </c>
      <c r="S15">
        <f>_xlfn.COVARIANCE.S(
  INDEX(Excess_Returns!$C$3:$V$62,0,MATCH($H15,Excess_Returns!$C$1:$V$1,0)),
  INDEX(Excess_Returns!$C$3:$V$62,0,MATCH(S$2,Excess_Returns!$C$1:$V$1,0))
)</f>
        <v>1.0992186846645111E-2</v>
      </c>
      <c r="T15">
        <f>_xlfn.COVARIANCE.S(
  INDEX(Excess_Returns!$C$3:$V$62,0,MATCH($H15,Excess_Returns!$C$1:$V$1,0)),
  INDEX(Excess_Returns!$C$3:$V$62,0,MATCH(T$2,Excess_Returns!$C$1:$V$1,0))
)</f>
        <v>1.0662465058143521E-2</v>
      </c>
      <c r="U15">
        <f>_xlfn.COVARIANCE.S(
  INDEX(Excess_Returns!$C$3:$V$62,0,MATCH($H15,Excess_Returns!$C$1:$V$1,0)),
  INDEX(Excess_Returns!$C$3:$V$62,0,MATCH(U$2,Excess_Returns!$C$1:$V$1,0))
)</f>
        <v>1.6392164872725296E-2</v>
      </c>
      <c r="V15">
        <f>_xlfn.COVARIANCE.S(
  INDEX(Excess_Returns!$C$3:$V$62,0,MATCH($H15,Excess_Returns!$C$1:$V$1,0)),
  INDEX(Excess_Returns!$C$3:$V$62,0,MATCH(V$2,Excess_Returns!$C$1:$V$1,0))
)</f>
        <v>1.6481299989230487E-2</v>
      </c>
      <c r="W15">
        <f>_xlfn.COVARIANCE.S(
  INDEX(Excess_Returns!$C$3:$V$62,0,MATCH($H15,Excess_Returns!$C$1:$V$1,0)),
  INDEX(Excess_Returns!$C$3:$V$62,0,MATCH(W$2,Excess_Returns!$C$1:$V$1,0))
)</f>
        <v>2.0663964520682854E-2</v>
      </c>
      <c r="X15">
        <f>_xlfn.COVARIANCE.S(
  INDEX(Excess_Returns!$C$3:$V$62,0,MATCH($H15,Excess_Returns!$C$1:$V$1,0)),
  INDEX(Excess_Returns!$C$3:$V$62,0,MATCH(X$2,Excess_Returns!$C$1:$V$1,0))
)</f>
        <v>1.4772663840323776E-3</v>
      </c>
      <c r="Y15">
        <f>_xlfn.COVARIANCE.S(
  INDEX(Excess_Returns!$C$3:$V$62,0,MATCH($H15,Excess_Returns!$C$1:$V$1,0)),
  INDEX(Excess_Returns!$C$3:$V$62,0,MATCH(Y$2,Excess_Returns!$C$1:$V$1,0))
)</f>
        <v>4.620476841930155E-3</v>
      </c>
      <c r="Z15">
        <f>_xlfn.COVARIANCE.S(
  INDEX(Excess_Returns!$C$3:$V$62,0,MATCH($H15,Excess_Returns!$C$1:$V$1,0)),
  INDEX(Excess_Returns!$C$3:$V$62,0,MATCH(Z$2,Excess_Returns!$C$1:$V$1,0))
)</f>
        <v>2.5163227521518942E-3</v>
      </c>
      <c r="AA15">
        <f>_xlfn.COVARIANCE.S(
  INDEX(Excess_Returns!$C$3:$V$62,0,MATCH($H15,Excess_Returns!$C$1:$V$1,0)),
  INDEX(Excess_Returns!$C$3:$V$62,0,MATCH(AA$2,Excess_Returns!$C$1:$V$1,0))
)</f>
        <v>2.3748957200392441E-3</v>
      </c>
      <c r="AB15">
        <f>_xlfn.COVARIANCE.S(
  INDEX(Excess_Returns!$C$3:$V$62,0,MATCH($H15,Excess_Returns!$C$1:$V$1,0)),
  INDEX(Excess_Returns!$C$3:$V$62,0,MATCH(AB$2,Excess_Returns!$C$1:$V$1,0))
)</f>
        <v>2.5716243579081591E-3</v>
      </c>
    </row>
    <row r="16" spans="1:28" x14ac:dyDescent="0.2">
      <c r="A16" t="s">
        <v>76</v>
      </c>
      <c r="B16">
        <f>AVERAGE(Excess_Returns!P$2:P$62)</f>
        <v>1.3419479440416651E-2</v>
      </c>
      <c r="C16">
        <f>_xlfn.STDEV.S(Excess_Returns!P2:P62)</f>
        <v>0.14595209469657913</v>
      </c>
      <c r="E16">
        <f>SLOPE(Excess_Returns!$C$3:$C$62,Excess_Returns!$B$3:$B$62)</f>
        <v>1.236533851994768</v>
      </c>
      <c r="H16" t="str" cm="1">
        <f t="array" ref="H16">INDEX($A$3:$A$22, ROWS($H$3:H16))</f>
        <v>SLB.US</v>
      </c>
      <c r="I16">
        <f>_xlfn.COVARIANCE.S(
  INDEX(Excess_Returns!$C$3:$V$62,0,MATCH($H16,Excess_Returns!$C$1:$V$1,0)),
  INDEX(Excess_Returns!$C$3:$V$62,0,MATCH(I$2,Excess_Returns!$C$1:$V$1,0))
)</f>
        <v>3.140223505816977E-3</v>
      </c>
      <c r="J16">
        <f>_xlfn.COVARIANCE.S(
  INDEX(Excess_Returns!$C$3:$V$62,0,MATCH($H16,Excess_Returns!$C$1:$V$1,0)),
  INDEX(Excess_Returns!$C$3:$V$62,0,MATCH(J$2,Excess_Returns!$C$1:$V$1,0))
)</f>
        <v>1.0889794552603517E-3</v>
      </c>
      <c r="K16">
        <f>_xlfn.COVARIANCE.S(
  INDEX(Excess_Returns!$C$3:$V$62,0,MATCH($H16,Excess_Returns!$C$1:$V$1,0)),
  INDEX(Excess_Returns!$C$3:$V$62,0,MATCH(K$2,Excess_Returns!$C$1:$V$1,0))
)</f>
        <v>2.9221434256936902E-3</v>
      </c>
      <c r="L16">
        <f>_xlfn.COVARIANCE.S(
  INDEX(Excess_Returns!$C$3:$V$62,0,MATCH($H16,Excess_Returns!$C$1:$V$1,0)),
  INDEX(Excess_Returns!$C$3:$V$62,0,MATCH(L$2,Excess_Returns!$C$1:$V$1,0))
)</f>
        <v>1.4983474341957064E-3</v>
      </c>
      <c r="M16">
        <f>_xlfn.COVARIANCE.S(
  INDEX(Excess_Returns!$C$3:$V$62,0,MATCH($H16,Excess_Returns!$C$1:$V$1,0)),
  INDEX(Excess_Returns!$C$3:$V$62,0,MATCH(M$2,Excess_Returns!$C$1:$V$1,0))
)</f>
        <v>4.5123111379692714E-4</v>
      </c>
      <c r="N16">
        <f>_xlfn.COVARIANCE.S(
  INDEX(Excess_Returns!$C$3:$V$62,0,MATCH($H16,Excess_Returns!$C$1:$V$1,0)),
  INDEX(Excess_Returns!$C$3:$V$62,0,MATCH(N$2,Excess_Returns!$C$1:$V$1,0))
)</f>
        <v>2.7457030086465678E-3</v>
      </c>
      <c r="O16">
        <f>_xlfn.COVARIANCE.S(
  INDEX(Excess_Returns!$C$3:$V$62,0,MATCH($H16,Excess_Returns!$C$1:$V$1,0)),
  INDEX(Excess_Returns!$C$3:$V$62,0,MATCH(O$2,Excess_Returns!$C$1:$V$1,0))
)</f>
        <v>1.843830558509567E-3</v>
      </c>
      <c r="P16">
        <f>_xlfn.COVARIANCE.S(
  INDEX(Excess_Returns!$C$3:$V$62,0,MATCH($H16,Excess_Returns!$C$1:$V$1,0)),
  INDEX(Excess_Returns!$C$3:$V$62,0,MATCH(P$2,Excess_Returns!$C$1:$V$1,0))
)</f>
        <v>2.9694773218466009E-3</v>
      </c>
      <c r="Q16">
        <f>_xlfn.COVARIANCE.S(
  INDEX(Excess_Returns!$C$3:$V$62,0,MATCH($H16,Excess_Returns!$C$1:$V$1,0)),
  INDEX(Excess_Returns!$C$3:$V$62,0,MATCH(Q$2,Excess_Returns!$C$1:$V$1,0))
)</f>
        <v>3.2348074719072595E-3</v>
      </c>
      <c r="R16">
        <f>_xlfn.COVARIANCE.S(
  INDEX(Excess_Returns!$C$3:$V$62,0,MATCH($H16,Excess_Returns!$C$1:$V$1,0)),
  INDEX(Excess_Returns!$C$3:$V$62,0,MATCH(R$2,Excess_Returns!$C$1:$V$1,0))
)</f>
        <v>4.6383911339960742E-3</v>
      </c>
      <c r="S16">
        <f>_xlfn.COVARIANCE.S(
  INDEX(Excess_Returns!$C$3:$V$62,0,MATCH($H16,Excess_Returns!$C$1:$V$1,0)),
  INDEX(Excess_Returns!$C$3:$V$62,0,MATCH(S$2,Excess_Returns!$C$1:$V$1,0))
)</f>
        <v>1.2485720662701188E-2</v>
      </c>
      <c r="T16">
        <f>_xlfn.COVARIANCE.S(
  INDEX(Excess_Returns!$C$3:$V$62,0,MATCH($H16,Excess_Returns!$C$1:$V$1,0)),
  INDEX(Excess_Returns!$C$3:$V$62,0,MATCH(T$2,Excess_Returns!$C$1:$V$1,0))
)</f>
        <v>1.1968494810842015E-2</v>
      </c>
      <c r="U16">
        <f>_xlfn.COVARIANCE.S(
  INDEX(Excess_Returns!$C$3:$V$62,0,MATCH($H16,Excess_Returns!$C$1:$V$1,0)),
  INDEX(Excess_Returns!$C$3:$V$62,0,MATCH(U$2,Excess_Returns!$C$1:$V$1,0))
)</f>
        <v>1.6481299989230487E-2</v>
      </c>
      <c r="V16">
        <f>_xlfn.COVARIANCE.S(
  INDEX(Excess_Returns!$C$3:$V$62,0,MATCH($H16,Excess_Returns!$C$1:$V$1,0)),
  INDEX(Excess_Returns!$C$3:$V$62,0,MATCH(V$2,Excess_Returns!$C$1:$V$1,0))
)</f>
        <v>2.1302013946319202E-2</v>
      </c>
      <c r="W16">
        <f>_xlfn.COVARIANCE.S(
  INDEX(Excess_Returns!$C$3:$V$62,0,MATCH($H16,Excess_Returns!$C$1:$V$1,0)),
  INDEX(Excess_Returns!$C$3:$V$62,0,MATCH(W$2,Excess_Returns!$C$1:$V$1,0))
)</f>
        <v>2.1065624142577649E-2</v>
      </c>
      <c r="X16">
        <f>_xlfn.COVARIANCE.S(
  INDEX(Excess_Returns!$C$3:$V$62,0,MATCH($H16,Excess_Returns!$C$1:$V$1,0)),
  INDEX(Excess_Returns!$C$3:$V$62,0,MATCH(X$2,Excess_Returns!$C$1:$V$1,0))
)</f>
        <v>6.1209893699278885E-4</v>
      </c>
      <c r="Y16">
        <f>_xlfn.COVARIANCE.S(
  INDEX(Excess_Returns!$C$3:$V$62,0,MATCH($H16,Excess_Returns!$C$1:$V$1,0)),
  INDEX(Excess_Returns!$C$3:$V$62,0,MATCH(Y$2,Excess_Returns!$C$1:$V$1,0))
)</f>
        <v>5.4992398139464107E-3</v>
      </c>
      <c r="Z16">
        <f>_xlfn.COVARIANCE.S(
  INDEX(Excess_Returns!$C$3:$V$62,0,MATCH($H16,Excess_Returns!$C$1:$V$1,0)),
  INDEX(Excess_Returns!$C$3:$V$62,0,MATCH(Z$2,Excess_Returns!$C$1:$V$1,0))
)</f>
        <v>3.72967865456878E-3</v>
      </c>
      <c r="AA16">
        <f>_xlfn.COVARIANCE.S(
  INDEX(Excess_Returns!$C$3:$V$62,0,MATCH($H16,Excess_Returns!$C$1:$V$1,0)),
  INDEX(Excess_Returns!$C$3:$V$62,0,MATCH(AA$2,Excess_Returns!$C$1:$V$1,0))
)</f>
        <v>3.3960997671685133E-3</v>
      </c>
      <c r="AB16">
        <f>_xlfn.COVARIANCE.S(
  INDEX(Excess_Returns!$C$3:$V$62,0,MATCH($H16,Excess_Returns!$C$1:$V$1,0)),
  INDEX(Excess_Returns!$C$3:$V$62,0,MATCH(AB$2,Excess_Returns!$C$1:$V$1,0))
)</f>
        <v>3.2238831144289918E-3</v>
      </c>
    </row>
    <row r="17" spans="1:28" x14ac:dyDescent="0.2">
      <c r="A17" t="s">
        <v>77</v>
      </c>
      <c r="B17">
        <f>AVERAGE(Excess_Returns!Q$2:Q$62)</f>
        <v>2.2271314265605694E-2</v>
      </c>
      <c r="C17">
        <f>_xlfn.STDEV.S(Excess_Returns!Q2:Q62)</f>
        <v>0.1914057576651447</v>
      </c>
      <c r="E17">
        <f>SLOPE(Excess_Returns!$C$3:$C$62,Excess_Returns!$B$3:$B$62)</f>
        <v>1.236533851994768</v>
      </c>
      <c r="H17" t="str" cm="1">
        <f t="array" ref="H17">INDEX($A$3:$A$22, ROWS($H$3:H17))</f>
        <v>OXY.US</v>
      </c>
      <c r="I17">
        <f>_xlfn.COVARIANCE.S(
  INDEX(Excess_Returns!$C$3:$V$62,0,MATCH($H17,Excess_Returns!$C$1:$V$1,0)),
  INDEX(Excess_Returns!$C$3:$V$62,0,MATCH(I$2,Excess_Returns!$C$1:$V$1,0))
)</f>
        <v>3.6315055008487819E-3</v>
      </c>
      <c r="J17">
        <f>_xlfn.COVARIANCE.S(
  INDEX(Excess_Returns!$C$3:$V$62,0,MATCH($H17,Excess_Returns!$C$1:$V$1,0)),
  INDEX(Excess_Returns!$C$3:$V$62,0,MATCH(J$2,Excess_Returns!$C$1:$V$1,0))
)</f>
        <v>2.8931690113498253E-3</v>
      </c>
      <c r="K17">
        <f>_xlfn.COVARIANCE.S(
  INDEX(Excess_Returns!$C$3:$V$62,0,MATCH($H17,Excess_Returns!$C$1:$V$1,0)),
  INDEX(Excess_Returns!$C$3:$V$62,0,MATCH(K$2,Excess_Returns!$C$1:$V$1,0))
)</f>
        <v>4.2691047742361016E-3</v>
      </c>
      <c r="L17">
        <f>_xlfn.COVARIANCE.S(
  INDEX(Excess_Returns!$C$3:$V$62,0,MATCH($H17,Excess_Returns!$C$1:$V$1,0)),
  INDEX(Excess_Returns!$C$3:$V$62,0,MATCH(L$2,Excess_Returns!$C$1:$V$1,0))
)</f>
        <v>7.0182775469998114E-4</v>
      </c>
      <c r="M17">
        <f>_xlfn.COVARIANCE.S(
  INDEX(Excess_Returns!$C$3:$V$62,0,MATCH($H17,Excess_Returns!$C$1:$V$1,0)),
  INDEX(Excess_Returns!$C$3:$V$62,0,MATCH(M$2,Excess_Returns!$C$1:$V$1,0))
)</f>
        <v>5.1478267665130799E-4</v>
      </c>
      <c r="N17">
        <f>_xlfn.COVARIANCE.S(
  INDEX(Excess_Returns!$C$3:$V$62,0,MATCH($H17,Excess_Returns!$C$1:$V$1,0)),
  INDEX(Excess_Returns!$C$3:$V$62,0,MATCH(N$2,Excess_Returns!$C$1:$V$1,0))
)</f>
        <v>2.2162985910635837E-3</v>
      </c>
      <c r="O17">
        <f>_xlfn.COVARIANCE.S(
  INDEX(Excess_Returns!$C$3:$V$62,0,MATCH($H17,Excess_Returns!$C$1:$V$1,0)),
  INDEX(Excess_Returns!$C$3:$V$62,0,MATCH(O$2,Excess_Returns!$C$1:$V$1,0))
)</f>
        <v>7.2178951413162879E-4</v>
      </c>
      <c r="P17">
        <f>_xlfn.COVARIANCE.S(
  INDEX(Excess_Returns!$C$3:$V$62,0,MATCH($H17,Excess_Returns!$C$1:$V$1,0)),
  INDEX(Excess_Returns!$C$3:$V$62,0,MATCH(P$2,Excess_Returns!$C$1:$V$1,0))
)</f>
        <v>2.5534764841328062E-3</v>
      </c>
      <c r="Q17">
        <f>_xlfn.COVARIANCE.S(
  INDEX(Excess_Returns!$C$3:$V$62,0,MATCH($H17,Excess_Returns!$C$1:$V$1,0)),
  INDEX(Excess_Returns!$C$3:$V$62,0,MATCH(Q$2,Excess_Returns!$C$1:$V$1,0))
)</f>
        <v>2.3734688831134323E-3</v>
      </c>
      <c r="R17">
        <f>_xlfn.COVARIANCE.S(
  INDEX(Excess_Returns!$C$3:$V$62,0,MATCH($H17,Excess_Returns!$C$1:$V$1,0)),
  INDEX(Excess_Returns!$C$3:$V$62,0,MATCH(R$2,Excess_Returns!$C$1:$V$1,0))
)</f>
        <v>5.3399649798923461E-3</v>
      </c>
      <c r="S17">
        <f>_xlfn.COVARIANCE.S(
  INDEX(Excess_Returns!$C$3:$V$62,0,MATCH($H17,Excess_Returns!$C$1:$V$1,0)),
  INDEX(Excess_Returns!$C$3:$V$62,0,MATCH(S$2,Excess_Returns!$C$1:$V$1,0))
)</f>
        <v>1.4867439595804522E-2</v>
      </c>
      <c r="T17">
        <f>_xlfn.COVARIANCE.S(
  INDEX(Excess_Returns!$C$3:$V$62,0,MATCH($H17,Excess_Returns!$C$1:$V$1,0)),
  INDEX(Excess_Returns!$C$3:$V$62,0,MATCH(T$2,Excess_Returns!$C$1:$V$1,0))
)</f>
        <v>1.4440428361861071E-2</v>
      </c>
      <c r="U17">
        <f>_xlfn.COVARIANCE.S(
  INDEX(Excess_Returns!$C$3:$V$62,0,MATCH($H17,Excess_Returns!$C$1:$V$1,0)),
  INDEX(Excess_Returns!$C$3:$V$62,0,MATCH(U$2,Excess_Returns!$C$1:$V$1,0))
)</f>
        <v>2.0663964520682854E-2</v>
      </c>
      <c r="V17">
        <f>_xlfn.COVARIANCE.S(
  INDEX(Excess_Returns!$C$3:$V$62,0,MATCH($H17,Excess_Returns!$C$1:$V$1,0)),
  INDEX(Excess_Returns!$C$3:$V$62,0,MATCH(V$2,Excess_Returns!$C$1:$V$1,0))
)</f>
        <v>2.1065624142577649E-2</v>
      </c>
      <c r="W17">
        <f>_xlfn.COVARIANCE.S(
  INDEX(Excess_Returns!$C$3:$V$62,0,MATCH($H17,Excess_Returns!$C$1:$V$1,0)),
  INDEX(Excess_Returns!$C$3:$V$62,0,MATCH(W$2,Excess_Returns!$C$1:$V$1,0))
)</f>
        <v>3.6636164067368089E-2</v>
      </c>
      <c r="X17">
        <f>_xlfn.COVARIANCE.S(
  INDEX(Excess_Returns!$C$3:$V$62,0,MATCH($H17,Excess_Returns!$C$1:$V$1,0)),
  INDEX(Excess_Returns!$C$3:$V$62,0,MATCH(X$2,Excess_Returns!$C$1:$V$1,0))
)</f>
        <v>3.436011318530731E-3</v>
      </c>
      <c r="Y17">
        <f>_xlfn.COVARIANCE.S(
  INDEX(Excess_Returns!$C$3:$V$62,0,MATCH($H17,Excess_Returns!$C$1:$V$1,0)),
  INDEX(Excess_Returns!$C$3:$V$62,0,MATCH(Y$2,Excess_Returns!$C$1:$V$1,0))
)</f>
        <v>1.1192613628183107E-2</v>
      </c>
      <c r="Z17">
        <f>_xlfn.COVARIANCE.S(
  INDEX(Excess_Returns!$C$3:$V$62,0,MATCH($H17,Excess_Returns!$C$1:$V$1,0)),
  INDEX(Excess_Returns!$C$3:$V$62,0,MATCH(Z$2,Excess_Returns!$C$1:$V$1,0))
)</f>
        <v>2.1802118991610464E-3</v>
      </c>
      <c r="AA17">
        <f>_xlfn.COVARIANCE.S(
  INDEX(Excess_Returns!$C$3:$V$62,0,MATCH($H17,Excess_Returns!$C$1:$V$1,0)),
  INDEX(Excess_Returns!$C$3:$V$62,0,MATCH(AA$2,Excess_Returns!$C$1:$V$1,0))
)</f>
        <v>1.8184408704411347E-3</v>
      </c>
      <c r="AB17">
        <f>_xlfn.COVARIANCE.S(
  INDEX(Excess_Returns!$C$3:$V$62,0,MATCH($H17,Excess_Returns!$C$1:$V$1,0)),
  INDEX(Excess_Returns!$C$3:$V$62,0,MATCH(AB$2,Excess_Returns!$C$1:$V$1,0))
)</f>
        <v>2.6463315414144892E-3</v>
      </c>
    </row>
    <row r="18" spans="1:28" x14ac:dyDescent="0.2">
      <c r="A18" t="s">
        <v>78</v>
      </c>
      <c r="B18">
        <f>AVERAGE(Excess_Returns!R$2:R$62)</f>
        <v>1.6300847675336873E-2</v>
      </c>
      <c r="C18">
        <f>_xlfn.STDEV.S(Excess_Returns!R2:R62)</f>
        <v>9.462876324759871E-2</v>
      </c>
      <c r="E18">
        <f>SLOPE(Excess_Returns!$C$3:$C$62,Excess_Returns!$B$3:$B$62)</f>
        <v>1.236533851994768</v>
      </c>
      <c r="H18" t="str" cm="1">
        <f t="array" ref="H18">INDEX($A$3:$A$22, ROWS($H$3:H18))</f>
        <v>AMZN.US</v>
      </c>
      <c r="I18">
        <f>_xlfn.COVARIANCE.S(
  INDEX(Excess_Returns!$C$3:$V$62,0,MATCH($H18,Excess_Returns!$C$1:$V$1,0)),
  INDEX(Excess_Returns!$C$3:$V$62,0,MATCH(I$2,Excess_Returns!$C$1:$V$1,0))
)</f>
        <v>5.4614165259010989E-3</v>
      </c>
      <c r="J18">
        <f>_xlfn.COVARIANCE.S(
  INDEX(Excess_Returns!$C$3:$V$62,0,MATCH($H18,Excess_Returns!$C$1:$V$1,0)),
  INDEX(Excess_Returns!$C$3:$V$62,0,MATCH(J$2,Excess_Returns!$C$1:$V$1,0))
)</f>
        <v>4.1274552402737795E-3</v>
      </c>
      <c r="K18">
        <f>_xlfn.COVARIANCE.S(
  INDEX(Excess_Returns!$C$3:$V$62,0,MATCH($H18,Excess_Returns!$C$1:$V$1,0)),
  INDEX(Excess_Returns!$C$3:$V$62,0,MATCH(K$2,Excess_Returns!$C$1:$V$1,0))
)</f>
        <v>4.4610732995470793E-3</v>
      </c>
      <c r="L18">
        <f>_xlfn.COVARIANCE.S(
  INDEX(Excess_Returns!$C$3:$V$62,0,MATCH($H18,Excess_Returns!$C$1:$V$1,0)),
  INDEX(Excess_Returns!$C$3:$V$62,0,MATCH(L$2,Excess_Returns!$C$1:$V$1,0))
)</f>
        <v>8.3513361900385118E-3</v>
      </c>
      <c r="M18">
        <f>_xlfn.COVARIANCE.S(
  INDEX(Excess_Returns!$C$3:$V$62,0,MATCH($H18,Excess_Returns!$C$1:$V$1,0)),
  INDEX(Excess_Returns!$C$3:$V$62,0,MATCH(M$2,Excess_Returns!$C$1:$V$1,0))
)</f>
        <v>5.2265573319180943E-3</v>
      </c>
      <c r="N18">
        <f>_xlfn.COVARIANCE.S(
  INDEX(Excess_Returns!$C$3:$V$62,0,MATCH($H18,Excess_Returns!$C$1:$V$1,0)),
  INDEX(Excess_Returns!$C$3:$V$62,0,MATCH(N$2,Excess_Returns!$C$1:$V$1,0))
)</f>
        <v>4.2907058396694867E-4</v>
      </c>
      <c r="O18">
        <f>_xlfn.COVARIANCE.S(
  INDEX(Excess_Returns!$C$3:$V$62,0,MATCH($H18,Excess_Returns!$C$1:$V$1,0)),
  INDEX(Excess_Returns!$C$3:$V$62,0,MATCH(O$2,Excess_Returns!$C$1:$V$1,0))
)</f>
        <v>9.4751025336822412E-4</v>
      </c>
      <c r="P18">
        <f>_xlfn.COVARIANCE.S(
  INDEX(Excess_Returns!$C$3:$V$62,0,MATCH($H18,Excess_Returns!$C$1:$V$1,0)),
  INDEX(Excess_Returns!$C$3:$V$62,0,MATCH(P$2,Excess_Returns!$C$1:$V$1,0))
)</f>
        <v>9.3911504326880089E-4</v>
      </c>
      <c r="Q18">
        <f>_xlfn.COVARIANCE.S(
  INDEX(Excess_Returns!$C$3:$V$62,0,MATCH($H18,Excess_Returns!$C$1:$V$1,0)),
  INDEX(Excess_Returns!$C$3:$V$62,0,MATCH(Q$2,Excess_Returns!$C$1:$V$1,0))
)</f>
        <v>-4.6923407252057766E-4</v>
      </c>
      <c r="R18">
        <f>_xlfn.COVARIANCE.S(
  INDEX(Excess_Returns!$C$3:$V$62,0,MATCH($H18,Excess_Returns!$C$1:$V$1,0)),
  INDEX(Excess_Returns!$C$3:$V$62,0,MATCH(R$2,Excess_Returns!$C$1:$V$1,0))
)</f>
        <v>-2.7648259330457646E-4</v>
      </c>
      <c r="S18">
        <f>_xlfn.COVARIANCE.S(
  INDEX(Excess_Returns!$C$3:$V$62,0,MATCH($H18,Excess_Returns!$C$1:$V$1,0)),
  INDEX(Excess_Returns!$C$3:$V$62,0,MATCH(S$2,Excess_Returns!$C$1:$V$1,0))
)</f>
        <v>5.4427807065508252E-4</v>
      </c>
      <c r="T18">
        <f>_xlfn.COVARIANCE.S(
  INDEX(Excess_Returns!$C$3:$V$62,0,MATCH($H18,Excess_Returns!$C$1:$V$1,0)),
  INDEX(Excess_Returns!$C$3:$V$62,0,MATCH(T$2,Excess_Returns!$C$1:$V$1,0))
)</f>
        <v>1.6202148130094888E-3</v>
      </c>
      <c r="U18">
        <f>_xlfn.COVARIANCE.S(
  INDEX(Excess_Returns!$C$3:$V$62,0,MATCH($H18,Excess_Returns!$C$1:$V$1,0)),
  INDEX(Excess_Returns!$C$3:$V$62,0,MATCH(U$2,Excess_Returns!$C$1:$V$1,0))
)</f>
        <v>1.4772663840323776E-3</v>
      </c>
      <c r="V18">
        <f>_xlfn.COVARIANCE.S(
  INDEX(Excess_Returns!$C$3:$V$62,0,MATCH($H18,Excess_Returns!$C$1:$V$1,0)),
  INDEX(Excess_Returns!$C$3:$V$62,0,MATCH(V$2,Excess_Returns!$C$1:$V$1,0))
)</f>
        <v>6.1209893699278885E-4</v>
      </c>
      <c r="W18">
        <f>_xlfn.COVARIANCE.S(
  INDEX(Excess_Returns!$C$3:$V$62,0,MATCH($H18,Excess_Returns!$C$1:$V$1,0)),
  INDEX(Excess_Returns!$C$3:$V$62,0,MATCH(W$2,Excess_Returns!$C$1:$V$1,0))
)</f>
        <v>3.436011318530731E-3</v>
      </c>
      <c r="X18">
        <f>_xlfn.COVARIANCE.S(
  INDEX(Excess_Returns!$C$3:$V$62,0,MATCH($H18,Excess_Returns!$C$1:$V$1,0)),
  INDEX(Excess_Returns!$C$3:$V$62,0,MATCH(X$2,Excess_Returns!$C$1:$V$1,0))
)</f>
        <v>8.954602833770085E-3</v>
      </c>
      <c r="Y18">
        <f>_xlfn.COVARIANCE.S(
  INDEX(Excess_Returns!$C$3:$V$62,0,MATCH($H18,Excess_Returns!$C$1:$V$1,0)),
  INDEX(Excess_Returns!$C$3:$V$62,0,MATCH(Y$2,Excess_Returns!$C$1:$V$1,0))
)</f>
        <v>1.3591393383541534E-2</v>
      </c>
      <c r="Z18">
        <f>_xlfn.COVARIANCE.S(
  INDEX(Excess_Returns!$C$3:$V$62,0,MATCH($H18,Excess_Returns!$C$1:$V$1,0)),
  INDEX(Excess_Returns!$C$3:$V$62,0,MATCH(Z$2,Excess_Returns!$C$1:$V$1,0))
)</f>
        <v>1.9441095193693423E-3</v>
      </c>
      <c r="AA18">
        <f>_xlfn.COVARIANCE.S(
  INDEX(Excess_Returns!$C$3:$V$62,0,MATCH($H18,Excess_Returns!$C$1:$V$1,0)),
  INDEX(Excess_Returns!$C$3:$V$62,0,MATCH(AA$2,Excess_Returns!$C$1:$V$1,0))
)</f>
        <v>2.7805421040768613E-3</v>
      </c>
      <c r="AB18">
        <f>_xlfn.COVARIANCE.S(
  INDEX(Excess_Returns!$C$3:$V$62,0,MATCH($H18,Excess_Returns!$C$1:$V$1,0)),
  INDEX(Excess_Returns!$C$3:$V$62,0,MATCH(AB$2,Excess_Returns!$C$1:$V$1,0))
)</f>
        <v>1.3904850117859072E-3</v>
      </c>
    </row>
    <row r="19" spans="1:28" x14ac:dyDescent="0.2">
      <c r="A19" t="s">
        <v>79</v>
      </c>
      <c r="B19">
        <f>AVERAGE(Excess_Returns!S$2:S$62)</f>
        <v>6.6524748763093389E-2</v>
      </c>
      <c r="C19">
        <f>_xlfn.STDEV.S(Excess_Returns!S2:S62)</f>
        <v>0.2229913817271037</v>
      </c>
      <c r="E19">
        <f>SLOPE(Excess_Returns!$C$3:$C$62,Excess_Returns!$B$3:$B$62)</f>
        <v>1.236533851994768</v>
      </c>
      <c r="H19" t="str" cm="1">
        <f t="array" ref="H19">INDEX($A$3:$A$22, ROWS($H$3:H19))</f>
        <v>TSLA.US</v>
      </c>
      <c r="I19">
        <f>_xlfn.COVARIANCE.S(
  INDEX(Excess_Returns!$C$3:$V$62,0,MATCH($H19,Excess_Returns!$C$1:$V$1,0)),
  INDEX(Excess_Returns!$C$3:$V$62,0,MATCH(I$2,Excess_Returns!$C$1:$V$1,0))
)</f>
        <v>1.3124231706483996E-2</v>
      </c>
      <c r="J19">
        <f>_xlfn.COVARIANCE.S(
  INDEX(Excess_Returns!$C$3:$V$62,0,MATCH($H19,Excess_Returns!$C$1:$V$1,0)),
  INDEX(Excess_Returns!$C$3:$V$62,0,MATCH(J$2,Excess_Returns!$C$1:$V$1,0))
)</f>
        <v>7.5667093708001835E-3</v>
      </c>
      <c r="K19">
        <f>_xlfn.COVARIANCE.S(
  INDEX(Excess_Returns!$C$3:$V$62,0,MATCH($H19,Excess_Returns!$C$1:$V$1,0)),
  INDEX(Excess_Returns!$C$3:$V$62,0,MATCH(K$2,Excess_Returns!$C$1:$V$1,0))
)</f>
        <v>7.5805036909610737E-3</v>
      </c>
      <c r="L19">
        <f>_xlfn.COVARIANCE.S(
  INDEX(Excess_Returns!$C$3:$V$62,0,MATCH($H19,Excess_Returns!$C$1:$V$1,0)),
  INDEX(Excess_Returns!$C$3:$V$62,0,MATCH(L$2,Excess_Returns!$C$1:$V$1,0))
)</f>
        <v>1.2839548432470482E-2</v>
      </c>
      <c r="M19">
        <f>_xlfn.COVARIANCE.S(
  INDEX(Excess_Returns!$C$3:$V$62,0,MATCH($H19,Excess_Returns!$C$1:$V$1,0)),
  INDEX(Excess_Returns!$C$3:$V$62,0,MATCH(M$2,Excess_Returns!$C$1:$V$1,0))
)</f>
        <v>8.0874683252658234E-3</v>
      </c>
      <c r="N19">
        <f>_xlfn.COVARIANCE.S(
  INDEX(Excess_Returns!$C$3:$V$62,0,MATCH($H19,Excess_Returns!$C$1:$V$1,0)),
  INDEX(Excess_Returns!$C$3:$V$62,0,MATCH(N$2,Excess_Returns!$C$1:$V$1,0))
)</f>
        <v>2.5306202363007276E-3</v>
      </c>
      <c r="O19">
        <f>_xlfn.COVARIANCE.S(
  INDEX(Excess_Returns!$C$3:$V$62,0,MATCH($H19,Excess_Returns!$C$1:$V$1,0)),
  INDEX(Excess_Returns!$C$3:$V$62,0,MATCH(O$2,Excess_Returns!$C$1:$V$1,0))
)</f>
        <v>1.5945272923012731E-3</v>
      </c>
      <c r="P19">
        <f>_xlfn.COVARIANCE.S(
  INDEX(Excess_Returns!$C$3:$V$62,0,MATCH($H19,Excess_Returns!$C$1:$V$1,0)),
  INDEX(Excess_Returns!$C$3:$V$62,0,MATCH(P$2,Excess_Returns!$C$1:$V$1,0))
)</f>
        <v>3.2709082710920441E-3</v>
      </c>
      <c r="Q19">
        <f>_xlfn.COVARIANCE.S(
  INDEX(Excess_Returns!$C$3:$V$62,0,MATCH($H19,Excess_Returns!$C$1:$V$1,0)),
  INDEX(Excess_Returns!$C$3:$V$62,0,MATCH(Q$2,Excess_Returns!$C$1:$V$1,0))
)</f>
        <v>3.7774896335380224E-6</v>
      </c>
      <c r="R19">
        <f>_xlfn.COVARIANCE.S(
  INDEX(Excess_Returns!$C$3:$V$62,0,MATCH($H19,Excess_Returns!$C$1:$V$1,0)),
  INDEX(Excess_Returns!$C$3:$V$62,0,MATCH(R$2,Excess_Returns!$C$1:$V$1,0))
)</f>
        <v>6.8891206546290622E-4</v>
      </c>
      <c r="S19">
        <f>_xlfn.COVARIANCE.S(
  INDEX(Excess_Returns!$C$3:$V$62,0,MATCH($H19,Excess_Returns!$C$1:$V$1,0)),
  INDEX(Excess_Returns!$C$3:$V$62,0,MATCH(S$2,Excess_Returns!$C$1:$V$1,0))
)</f>
        <v>1.7619987238964004E-3</v>
      </c>
      <c r="T19">
        <f>_xlfn.COVARIANCE.S(
  INDEX(Excess_Returns!$C$3:$V$62,0,MATCH($H19,Excess_Returns!$C$1:$V$1,0)),
  INDEX(Excess_Returns!$C$3:$V$62,0,MATCH(T$2,Excess_Returns!$C$1:$V$1,0))
)</f>
        <v>4.8080924885782967E-3</v>
      </c>
      <c r="U19">
        <f>_xlfn.COVARIANCE.S(
  INDEX(Excess_Returns!$C$3:$V$62,0,MATCH($H19,Excess_Returns!$C$1:$V$1,0)),
  INDEX(Excess_Returns!$C$3:$V$62,0,MATCH(U$2,Excess_Returns!$C$1:$V$1,0))
)</f>
        <v>4.620476841930155E-3</v>
      </c>
      <c r="V19">
        <f>_xlfn.COVARIANCE.S(
  INDEX(Excess_Returns!$C$3:$V$62,0,MATCH($H19,Excess_Returns!$C$1:$V$1,0)),
  INDEX(Excess_Returns!$C$3:$V$62,0,MATCH(V$2,Excess_Returns!$C$1:$V$1,0))
)</f>
        <v>5.4992398139464107E-3</v>
      </c>
      <c r="W19">
        <f>_xlfn.COVARIANCE.S(
  INDEX(Excess_Returns!$C$3:$V$62,0,MATCH($H19,Excess_Returns!$C$1:$V$1,0)),
  INDEX(Excess_Returns!$C$3:$V$62,0,MATCH(W$2,Excess_Returns!$C$1:$V$1,0))
)</f>
        <v>1.1192613628183107E-2</v>
      </c>
      <c r="X19">
        <f>_xlfn.COVARIANCE.S(
  INDEX(Excess_Returns!$C$3:$V$62,0,MATCH($H19,Excess_Returns!$C$1:$V$1,0)),
  INDEX(Excess_Returns!$C$3:$V$62,0,MATCH(X$2,Excess_Returns!$C$1:$V$1,0))
)</f>
        <v>1.3591393383541534E-2</v>
      </c>
      <c r="Y19">
        <f>_xlfn.COVARIANCE.S(
  INDEX(Excess_Returns!$C$3:$V$62,0,MATCH($H19,Excess_Returns!$C$1:$V$1,0)),
  INDEX(Excess_Returns!$C$3:$V$62,0,MATCH(Y$2,Excess_Returns!$C$1:$V$1,0))
)</f>
        <v>4.9725156324562876E-2</v>
      </c>
      <c r="Z19">
        <f>_xlfn.COVARIANCE.S(
  INDEX(Excess_Returns!$C$3:$V$62,0,MATCH($H19,Excess_Returns!$C$1:$V$1,0)),
  INDEX(Excess_Returns!$C$3:$V$62,0,MATCH(Z$2,Excess_Returns!$C$1:$V$1,0))
)</f>
        <v>5.444357812694956E-3</v>
      </c>
      <c r="AA19">
        <f>_xlfn.COVARIANCE.S(
  INDEX(Excess_Returns!$C$3:$V$62,0,MATCH($H19,Excess_Returns!$C$1:$V$1,0)),
  INDEX(Excess_Returns!$C$3:$V$62,0,MATCH(AA$2,Excess_Returns!$C$1:$V$1,0))
)</f>
        <v>6.8430981628814771E-3</v>
      </c>
      <c r="AB19">
        <f>_xlfn.COVARIANCE.S(
  INDEX(Excess_Returns!$C$3:$V$62,0,MATCH($H19,Excess_Returns!$C$1:$V$1,0)),
  INDEX(Excess_Returns!$C$3:$V$62,0,MATCH(AB$2,Excess_Returns!$C$1:$V$1,0))
)</f>
        <v>4.5630376139843528E-3</v>
      </c>
    </row>
    <row r="20" spans="1:28" x14ac:dyDescent="0.2">
      <c r="A20" t="s">
        <v>80</v>
      </c>
      <c r="B20">
        <f>AVERAGE(Excess_Returns!T$2:T$62)</f>
        <v>-3.6677157361377573E-4</v>
      </c>
      <c r="C20">
        <f>_xlfn.STDEV.S(Excess_Returns!T2:T62)</f>
        <v>9.0408619376139046E-2</v>
      </c>
      <c r="E20">
        <f>SLOPE(Excess_Returns!$C$3:$C$62,Excess_Returns!$B$3:$B$62)</f>
        <v>1.236533851994768</v>
      </c>
      <c r="H20" t="str" cm="1">
        <f t="array" ref="H20">INDEX($A$3:$A$22, ROWS($H$3:H20))</f>
        <v>NKE.US</v>
      </c>
      <c r="I20">
        <f>_xlfn.COVARIANCE.S(
  INDEX(Excess_Returns!$C$3:$V$62,0,MATCH($H20,Excess_Returns!$C$1:$V$1,0)),
  INDEX(Excess_Returns!$C$3:$V$62,0,MATCH(I$2,Excess_Returns!$C$1:$V$1,0))
)</f>
        <v>3.5836588217337934E-3</v>
      </c>
      <c r="J20">
        <f>_xlfn.COVARIANCE.S(
  INDEX(Excess_Returns!$C$3:$V$62,0,MATCH($H20,Excess_Returns!$C$1:$V$1,0)),
  INDEX(Excess_Returns!$C$3:$V$62,0,MATCH(J$2,Excess_Returns!$C$1:$V$1,0))
)</f>
        <v>2.8860489845314637E-3</v>
      </c>
      <c r="K20">
        <f>_xlfn.COVARIANCE.S(
  INDEX(Excess_Returns!$C$3:$V$62,0,MATCH($H20,Excess_Returns!$C$1:$V$1,0)),
  INDEX(Excess_Returns!$C$3:$V$62,0,MATCH(K$2,Excess_Returns!$C$1:$V$1,0))
)</f>
        <v>1.8362671775971943E-3</v>
      </c>
      <c r="L20">
        <f>_xlfn.COVARIANCE.S(
  INDEX(Excess_Returns!$C$3:$V$62,0,MATCH($H20,Excess_Returns!$C$1:$V$1,0)),
  INDEX(Excess_Returns!$C$3:$V$62,0,MATCH(L$2,Excess_Returns!$C$1:$V$1,0))
)</f>
        <v>4.6617293107690692E-3</v>
      </c>
      <c r="M20">
        <f>_xlfn.COVARIANCE.S(
  INDEX(Excess_Returns!$C$3:$V$62,0,MATCH($H20,Excess_Returns!$C$1:$V$1,0)),
  INDEX(Excess_Returns!$C$3:$V$62,0,MATCH(M$2,Excess_Returns!$C$1:$V$1,0))
)</f>
        <v>3.429421924707539E-3</v>
      </c>
      <c r="N20">
        <f>_xlfn.COVARIANCE.S(
  INDEX(Excess_Returns!$C$3:$V$62,0,MATCH($H20,Excess_Returns!$C$1:$V$1,0)),
  INDEX(Excess_Returns!$C$3:$V$62,0,MATCH(N$2,Excess_Returns!$C$1:$V$1,0))
)</f>
        <v>1.5338072644676766E-3</v>
      </c>
      <c r="O20">
        <f>_xlfn.COVARIANCE.S(
  INDEX(Excess_Returns!$C$3:$V$62,0,MATCH($H20,Excess_Returns!$C$1:$V$1,0)),
  INDEX(Excess_Returns!$C$3:$V$62,0,MATCH(O$2,Excess_Returns!$C$1:$V$1,0))
)</f>
        <v>1.6547678467028536E-3</v>
      </c>
      <c r="P20">
        <f>_xlfn.COVARIANCE.S(
  INDEX(Excess_Returns!$C$3:$V$62,0,MATCH($H20,Excess_Returns!$C$1:$V$1,0)),
  INDEX(Excess_Returns!$C$3:$V$62,0,MATCH(P$2,Excess_Returns!$C$1:$V$1,0))
)</f>
        <v>2.0038193376423776E-3</v>
      </c>
      <c r="Q20">
        <f>_xlfn.COVARIANCE.S(
  INDEX(Excess_Returns!$C$3:$V$62,0,MATCH($H20,Excess_Returns!$C$1:$V$1,0)),
  INDEX(Excess_Returns!$C$3:$V$62,0,MATCH(Q$2,Excess_Returns!$C$1:$V$1,0))
)</f>
        <v>1.8897469201270554E-3</v>
      </c>
      <c r="R20">
        <f>_xlfn.COVARIANCE.S(
  INDEX(Excess_Returns!$C$3:$V$62,0,MATCH($H20,Excess_Returns!$C$1:$V$1,0)),
  INDEX(Excess_Returns!$C$3:$V$62,0,MATCH(R$2,Excess_Returns!$C$1:$V$1,0))
)</f>
        <v>1.4333992140475587E-3</v>
      </c>
      <c r="S20">
        <f>_xlfn.COVARIANCE.S(
  INDEX(Excess_Returns!$C$3:$V$62,0,MATCH($H20,Excess_Returns!$C$1:$V$1,0)),
  INDEX(Excess_Returns!$C$3:$V$62,0,MATCH(S$2,Excess_Returns!$C$1:$V$1,0))
)</f>
        <v>2.0196592184026103E-3</v>
      </c>
      <c r="T20">
        <f>_xlfn.COVARIANCE.S(
  INDEX(Excess_Returns!$C$3:$V$62,0,MATCH($H20,Excess_Returns!$C$1:$V$1,0)),
  INDEX(Excess_Returns!$C$3:$V$62,0,MATCH(T$2,Excess_Returns!$C$1:$V$1,0))
)</f>
        <v>2.6158919616690777E-3</v>
      </c>
      <c r="U20">
        <f>_xlfn.COVARIANCE.S(
  INDEX(Excess_Returns!$C$3:$V$62,0,MATCH($H20,Excess_Returns!$C$1:$V$1,0)),
  INDEX(Excess_Returns!$C$3:$V$62,0,MATCH(U$2,Excess_Returns!$C$1:$V$1,0))
)</f>
        <v>2.5163227521518942E-3</v>
      </c>
      <c r="V20">
        <f>_xlfn.COVARIANCE.S(
  INDEX(Excess_Returns!$C$3:$V$62,0,MATCH($H20,Excess_Returns!$C$1:$V$1,0)),
  INDEX(Excess_Returns!$C$3:$V$62,0,MATCH(V$2,Excess_Returns!$C$1:$V$1,0))
)</f>
        <v>3.72967865456878E-3</v>
      </c>
      <c r="W20">
        <f>_xlfn.COVARIANCE.S(
  INDEX(Excess_Returns!$C$3:$V$62,0,MATCH($H20,Excess_Returns!$C$1:$V$1,0)),
  INDEX(Excess_Returns!$C$3:$V$62,0,MATCH(W$2,Excess_Returns!$C$1:$V$1,0))
)</f>
        <v>2.1802118991610464E-3</v>
      </c>
      <c r="X20">
        <f>_xlfn.COVARIANCE.S(
  INDEX(Excess_Returns!$C$3:$V$62,0,MATCH($H20,Excess_Returns!$C$1:$V$1,0)),
  INDEX(Excess_Returns!$C$3:$V$62,0,MATCH(X$2,Excess_Returns!$C$1:$V$1,0))
)</f>
        <v>1.9441095193693423E-3</v>
      </c>
      <c r="Y20">
        <f>_xlfn.COVARIANCE.S(
  INDEX(Excess_Returns!$C$3:$V$62,0,MATCH($H20,Excess_Returns!$C$1:$V$1,0)),
  INDEX(Excess_Returns!$C$3:$V$62,0,MATCH(Y$2,Excess_Returns!$C$1:$V$1,0))
)</f>
        <v>5.444357812694956E-3</v>
      </c>
      <c r="Z20">
        <f>_xlfn.COVARIANCE.S(
  INDEX(Excess_Returns!$C$3:$V$62,0,MATCH($H20,Excess_Returns!$C$1:$V$1,0)),
  INDEX(Excess_Returns!$C$3:$V$62,0,MATCH(Z$2,Excess_Returns!$C$1:$V$1,0))
)</f>
        <v>8.1737184574995885E-3</v>
      </c>
      <c r="AA20">
        <f>_xlfn.COVARIANCE.S(
  INDEX(Excess_Returns!$C$3:$V$62,0,MATCH($H20,Excess_Returns!$C$1:$V$1,0)),
  INDEX(Excess_Returns!$C$3:$V$62,0,MATCH(AA$2,Excess_Returns!$C$1:$V$1,0))
)</f>
        <v>3.3195164936072031E-3</v>
      </c>
      <c r="AB20">
        <f>_xlfn.COVARIANCE.S(
  INDEX(Excess_Returns!$C$3:$V$62,0,MATCH($H20,Excess_Returns!$C$1:$V$1,0)),
  INDEX(Excess_Returns!$C$3:$V$62,0,MATCH(AB$2,Excess_Returns!$C$1:$V$1,0))
)</f>
        <v>2.7915270250641879E-3</v>
      </c>
    </row>
    <row r="21" spans="1:28" x14ac:dyDescent="0.2">
      <c r="A21" t="s">
        <v>81</v>
      </c>
      <c r="B21">
        <f>AVERAGE(Excess_Returns!U$2:U$62)</f>
        <v>1.300707307597276E-2</v>
      </c>
      <c r="C21">
        <f>_xlfn.STDEV.S(Excess_Returns!U2:U62)</f>
        <v>7.3387187311940605E-2</v>
      </c>
      <c r="E21">
        <f>SLOPE(Excess_Returns!$C$3:$C$62,Excess_Returns!$B$3:$B$62)</f>
        <v>1.236533851994768</v>
      </c>
      <c r="H21" t="str" cm="1">
        <f t="array" ref="H21">INDEX($A$3:$A$22, ROWS($H$3:H21))</f>
        <v>HD.US</v>
      </c>
      <c r="I21">
        <f>_xlfn.COVARIANCE.S(
  INDEX(Excess_Returns!$C$3:$V$62,0,MATCH($H21,Excess_Returns!$C$1:$V$1,0)),
  INDEX(Excess_Returns!$C$3:$V$62,0,MATCH(I$2,Excess_Returns!$C$1:$V$1,0))
)</f>
        <v>3.1186885719661768E-3</v>
      </c>
      <c r="J21">
        <f>_xlfn.COVARIANCE.S(
  INDEX(Excess_Returns!$C$3:$V$62,0,MATCH($H21,Excess_Returns!$C$1:$V$1,0)),
  INDEX(Excess_Returns!$C$3:$V$62,0,MATCH(J$2,Excess_Returns!$C$1:$V$1,0))
)</f>
        <v>2.3634699371595435E-3</v>
      </c>
      <c r="K21">
        <f>_xlfn.COVARIANCE.S(
  INDEX(Excess_Returns!$C$3:$V$62,0,MATCH($H21,Excess_Returns!$C$1:$V$1,0)),
  INDEX(Excess_Returns!$C$3:$V$62,0,MATCH(K$2,Excess_Returns!$C$1:$V$1,0))
)</f>
        <v>2.0944727787009791E-3</v>
      </c>
      <c r="L21">
        <f>_xlfn.COVARIANCE.S(
  INDEX(Excess_Returns!$C$3:$V$62,0,MATCH($H21,Excess_Returns!$C$1:$V$1,0)),
  INDEX(Excess_Returns!$C$3:$V$62,0,MATCH(L$2,Excess_Returns!$C$1:$V$1,0))
)</f>
        <v>3.8535434375259877E-3</v>
      </c>
      <c r="M21">
        <f>_xlfn.COVARIANCE.S(
  INDEX(Excess_Returns!$C$3:$V$62,0,MATCH($H21,Excess_Returns!$C$1:$V$1,0)),
  INDEX(Excess_Returns!$C$3:$V$62,0,MATCH(M$2,Excess_Returns!$C$1:$V$1,0))
)</f>
        <v>4.0315627593117548E-3</v>
      </c>
      <c r="N21">
        <f>_xlfn.COVARIANCE.S(
  INDEX(Excess_Returns!$C$3:$V$62,0,MATCH($H21,Excess_Returns!$C$1:$V$1,0)),
  INDEX(Excess_Returns!$C$3:$V$62,0,MATCH(N$2,Excess_Returns!$C$1:$V$1,0))
)</f>
        <v>1.6977378754476024E-3</v>
      </c>
      <c r="O21">
        <f>_xlfn.COVARIANCE.S(
  INDEX(Excess_Returns!$C$3:$V$62,0,MATCH($H21,Excess_Returns!$C$1:$V$1,0)),
  INDEX(Excess_Returns!$C$3:$V$62,0,MATCH(O$2,Excess_Returns!$C$1:$V$1,0))
)</f>
        <v>2.6632855459674072E-3</v>
      </c>
      <c r="P21">
        <f>_xlfn.COVARIANCE.S(
  INDEX(Excess_Returns!$C$3:$V$62,0,MATCH($H21,Excess_Returns!$C$1:$V$1,0)),
  INDEX(Excess_Returns!$C$3:$V$62,0,MATCH(P$2,Excess_Returns!$C$1:$V$1,0))
)</f>
        <v>1.9025988584714178E-3</v>
      </c>
      <c r="Q21">
        <f>_xlfn.COVARIANCE.S(
  INDEX(Excess_Returns!$C$3:$V$62,0,MATCH($H21,Excess_Returns!$C$1:$V$1,0)),
  INDEX(Excess_Returns!$C$3:$V$62,0,MATCH(Q$2,Excess_Returns!$C$1:$V$1,0))
)</f>
        <v>1.2416496038981048E-3</v>
      </c>
      <c r="R21">
        <f>_xlfn.COVARIANCE.S(
  INDEX(Excess_Returns!$C$3:$V$62,0,MATCH($H21,Excess_Returns!$C$1:$V$1,0)),
  INDEX(Excess_Returns!$C$3:$V$62,0,MATCH(R$2,Excess_Returns!$C$1:$V$1,0))
)</f>
        <v>1.4060593301701337E-3</v>
      </c>
      <c r="S21">
        <f>_xlfn.COVARIANCE.S(
  INDEX(Excess_Returns!$C$3:$V$62,0,MATCH($H21,Excess_Returns!$C$1:$V$1,0)),
  INDEX(Excess_Returns!$C$3:$V$62,0,MATCH(S$2,Excess_Returns!$C$1:$V$1,0))
)</f>
        <v>1.7215223901909068E-3</v>
      </c>
      <c r="T21">
        <f>_xlfn.COVARIANCE.S(
  INDEX(Excess_Returns!$C$3:$V$62,0,MATCH($H21,Excess_Returns!$C$1:$V$1,0)),
  INDEX(Excess_Returns!$C$3:$V$62,0,MATCH(T$2,Excess_Returns!$C$1:$V$1,0))
)</f>
        <v>2.655531879749764E-3</v>
      </c>
      <c r="U21">
        <f>_xlfn.COVARIANCE.S(
  INDEX(Excess_Returns!$C$3:$V$62,0,MATCH($H21,Excess_Returns!$C$1:$V$1,0)),
  INDEX(Excess_Returns!$C$3:$V$62,0,MATCH(U$2,Excess_Returns!$C$1:$V$1,0))
)</f>
        <v>2.3748957200392441E-3</v>
      </c>
      <c r="V21">
        <f>_xlfn.COVARIANCE.S(
  INDEX(Excess_Returns!$C$3:$V$62,0,MATCH($H21,Excess_Returns!$C$1:$V$1,0)),
  INDEX(Excess_Returns!$C$3:$V$62,0,MATCH(V$2,Excess_Returns!$C$1:$V$1,0))
)</f>
        <v>3.3960997671685133E-3</v>
      </c>
      <c r="W21">
        <f>_xlfn.COVARIANCE.S(
  INDEX(Excess_Returns!$C$3:$V$62,0,MATCH($H21,Excess_Returns!$C$1:$V$1,0)),
  INDEX(Excess_Returns!$C$3:$V$62,0,MATCH(W$2,Excess_Returns!$C$1:$V$1,0))
)</f>
        <v>1.8184408704411347E-3</v>
      </c>
      <c r="X21">
        <f>_xlfn.COVARIANCE.S(
  INDEX(Excess_Returns!$C$3:$V$62,0,MATCH($H21,Excess_Returns!$C$1:$V$1,0)),
  INDEX(Excess_Returns!$C$3:$V$62,0,MATCH(X$2,Excess_Returns!$C$1:$V$1,0))
)</f>
        <v>2.7805421040768613E-3</v>
      </c>
      <c r="Y21">
        <f>_xlfn.COVARIANCE.S(
  INDEX(Excess_Returns!$C$3:$V$62,0,MATCH($H21,Excess_Returns!$C$1:$V$1,0)),
  INDEX(Excess_Returns!$C$3:$V$62,0,MATCH(Y$2,Excess_Returns!$C$1:$V$1,0))
)</f>
        <v>6.8430981628814771E-3</v>
      </c>
      <c r="Z21">
        <f>_xlfn.COVARIANCE.S(
  INDEX(Excess_Returns!$C$3:$V$62,0,MATCH($H21,Excess_Returns!$C$1:$V$1,0)),
  INDEX(Excess_Returns!$C$3:$V$62,0,MATCH(Z$2,Excess_Returns!$C$1:$V$1,0))
)</f>
        <v>3.3195164936072031E-3</v>
      </c>
      <c r="AA21">
        <f>_xlfn.COVARIANCE.S(
  INDEX(Excess_Returns!$C$3:$V$62,0,MATCH($H21,Excess_Returns!$C$1:$V$1,0)),
  INDEX(Excess_Returns!$C$3:$V$62,0,MATCH(AA$2,Excess_Returns!$C$1:$V$1,0))
)</f>
        <v>5.3856792615578587E-3</v>
      </c>
      <c r="AB21">
        <f>_xlfn.COVARIANCE.S(
  INDEX(Excess_Returns!$C$3:$V$62,0,MATCH($H21,Excess_Returns!$C$1:$V$1,0)),
  INDEX(Excess_Returns!$C$3:$V$62,0,MATCH(AB$2,Excess_Returns!$C$1:$V$1,0))
)</f>
        <v>2.7503045323993163E-3</v>
      </c>
    </row>
    <row r="22" spans="1:28" x14ac:dyDescent="0.2">
      <c r="A22" t="s">
        <v>82</v>
      </c>
      <c r="B22">
        <f>AVERAGE(Excess_Returns!V$2:V$62)</f>
        <v>7.6791871984783809E-3</v>
      </c>
      <c r="C22">
        <f>_xlfn.STDEV.S(Excess_Returns!V2:V62)</f>
        <v>5.632397753783025E-2</v>
      </c>
      <c r="E22">
        <f>SLOPE(Excess_Returns!$C$3:$C$62,Excess_Returns!$B$3:$B$62)</f>
        <v>1.236533851994768</v>
      </c>
      <c r="H22" t="str" cm="1">
        <f t="array" ref="H22">INDEX($A$3:$A$22, ROWS($H$3:H22))</f>
        <v>MCD.US</v>
      </c>
      <c r="I22">
        <f>_xlfn.COVARIANCE.S(
  INDEX(Excess_Returns!$C$3:$V$62,0,MATCH($H22,Excess_Returns!$C$1:$V$1,0)),
  INDEX(Excess_Returns!$C$3:$V$62,0,MATCH(I$2,Excess_Returns!$C$1:$V$1,0))
)</f>
        <v>2.7523479743299713E-3</v>
      </c>
      <c r="J22">
        <f>_xlfn.COVARIANCE.S(
  INDEX(Excess_Returns!$C$3:$V$62,0,MATCH($H22,Excess_Returns!$C$1:$V$1,0)),
  INDEX(Excess_Returns!$C$3:$V$62,0,MATCH(J$2,Excess_Returns!$C$1:$V$1,0))
)</f>
        <v>1.4886169519437724E-3</v>
      </c>
      <c r="K22">
        <f>_xlfn.COVARIANCE.S(
  INDEX(Excess_Returns!$C$3:$V$62,0,MATCH($H22,Excess_Returns!$C$1:$V$1,0)),
  INDEX(Excess_Returns!$C$3:$V$62,0,MATCH(K$2,Excess_Returns!$C$1:$V$1,0))
)</f>
        <v>1.4496785120651501E-3</v>
      </c>
      <c r="L22">
        <f>_xlfn.COVARIANCE.S(
  INDEX(Excess_Returns!$C$3:$V$62,0,MATCH($H22,Excess_Returns!$C$1:$V$1,0)),
  INDEX(Excess_Returns!$C$3:$V$62,0,MATCH(L$2,Excess_Returns!$C$1:$V$1,0))
)</f>
        <v>1.1945656082648752E-3</v>
      </c>
      <c r="M22">
        <f>_xlfn.COVARIANCE.S(
  INDEX(Excess_Returns!$C$3:$V$62,0,MATCH($H22,Excess_Returns!$C$1:$V$1,0)),
  INDEX(Excess_Returns!$C$3:$V$62,0,MATCH(M$2,Excess_Returns!$C$1:$V$1,0))
)</f>
        <v>1.6348891940187705E-3</v>
      </c>
      <c r="N22">
        <f>_xlfn.COVARIANCE.S(
  INDEX(Excess_Returns!$C$3:$V$62,0,MATCH($H22,Excess_Returns!$C$1:$V$1,0)),
  INDEX(Excess_Returns!$C$3:$V$62,0,MATCH(N$2,Excess_Returns!$C$1:$V$1,0))
)</f>
        <v>1.6543531563294517E-3</v>
      </c>
      <c r="O22">
        <f>_xlfn.COVARIANCE.S(
  INDEX(Excess_Returns!$C$3:$V$62,0,MATCH($H22,Excess_Returns!$C$1:$V$1,0)),
  INDEX(Excess_Returns!$C$3:$V$62,0,MATCH(O$2,Excess_Returns!$C$1:$V$1,0))
)</f>
        <v>1.6676871091489093E-3</v>
      </c>
      <c r="P22">
        <f>_xlfn.COVARIANCE.S(
  INDEX(Excess_Returns!$C$3:$V$62,0,MATCH($H22,Excess_Returns!$C$1:$V$1,0)),
  INDEX(Excess_Returns!$C$3:$V$62,0,MATCH(P$2,Excess_Returns!$C$1:$V$1,0))
)</f>
        <v>1.6076723799843631E-3</v>
      </c>
      <c r="Q22">
        <f>_xlfn.COVARIANCE.S(
  INDEX(Excess_Returns!$C$3:$V$62,0,MATCH($H22,Excess_Returns!$C$1:$V$1,0)),
  INDEX(Excess_Returns!$C$3:$V$62,0,MATCH(Q$2,Excess_Returns!$C$1:$V$1,0))
)</f>
        <v>1.3310303349389496E-3</v>
      </c>
      <c r="R22">
        <f>_xlfn.COVARIANCE.S(
  INDEX(Excess_Returns!$C$3:$V$62,0,MATCH($H22,Excess_Returns!$C$1:$V$1,0)),
  INDEX(Excess_Returns!$C$3:$V$62,0,MATCH(R$2,Excess_Returns!$C$1:$V$1,0))
)</f>
        <v>9.3339226022369297E-4</v>
      </c>
      <c r="S22">
        <f>_xlfn.COVARIANCE.S(
  INDEX(Excess_Returns!$C$3:$V$62,0,MATCH($H22,Excess_Returns!$C$1:$V$1,0)),
  INDEX(Excess_Returns!$C$3:$V$62,0,MATCH(S$2,Excess_Returns!$C$1:$V$1,0))
)</f>
        <v>2.0915720190362993E-3</v>
      </c>
      <c r="T22">
        <f>_xlfn.COVARIANCE.S(
  INDEX(Excess_Returns!$C$3:$V$62,0,MATCH($H22,Excess_Returns!$C$1:$V$1,0)),
  INDEX(Excess_Returns!$C$3:$V$62,0,MATCH(T$2,Excess_Returns!$C$1:$V$1,0))
)</f>
        <v>2.3920616910202584E-3</v>
      </c>
      <c r="U22">
        <f>_xlfn.COVARIANCE.S(
  INDEX(Excess_Returns!$C$3:$V$62,0,MATCH($H22,Excess_Returns!$C$1:$V$1,0)),
  INDEX(Excess_Returns!$C$3:$V$62,0,MATCH(U$2,Excess_Returns!$C$1:$V$1,0))
)</f>
        <v>2.5716243579081591E-3</v>
      </c>
      <c r="V22">
        <f>_xlfn.COVARIANCE.S(
  INDEX(Excess_Returns!$C$3:$V$62,0,MATCH($H22,Excess_Returns!$C$1:$V$1,0)),
  INDEX(Excess_Returns!$C$3:$V$62,0,MATCH(V$2,Excess_Returns!$C$1:$V$1,0))
)</f>
        <v>3.2238831144289918E-3</v>
      </c>
      <c r="W22">
        <f>_xlfn.COVARIANCE.S(
  INDEX(Excess_Returns!$C$3:$V$62,0,MATCH($H22,Excess_Returns!$C$1:$V$1,0)),
  INDEX(Excess_Returns!$C$3:$V$62,0,MATCH(W$2,Excess_Returns!$C$1:$V$1,0))
)</f>
        <v>2.6463315414144892E-3</v>
      </c>
      <c r="X22">
        <f>_xlfn.COVARIANCE.S(
  INDEX(Excess_Returns!$C$3:$V$62,0,MATCH($H22,Excess_Returns!$C$1:$V$1,0)),
  INDEX(Excess_Returns!$C$3:$V$62,0,MATCH(X$2,Excess_Returns!$C$1:$V$1,0))
)</f>
        <v>1.3904850117859072E-3</v>
      </c>
      <c r="Y22">
        <f>_xlfn.COVARIANCE.S(
  INDEX(Excess_Returns!$C$3:$V$62,0,MATCH($H22,Excess_Returns!$C$1:$V$1,0)),
  INDEX(Excess_Returns!$C$3:$V$62,0,MATCH(Y$2,Excess_Returns!$C$1:$V$1,0))
)</f>
        <v>4.5630376139843528E-3</v>
      </c>
      <c r="Z22">
        <f>_xlfn.COVARIANCE.S(
  INDEX(Excess_Returns!$C$3:$V$62,0,MATCH($H22,Excess_Returns!$C$1:$V$1,0)),
  INDEX(Excess_Returns!$C$3:$V$62,0,MATCH(Z$2,Excess_Returns!$C$1:$V$1,0))
)</f>
        <v>2.7915270250641879E-3</v>
      </c>
      <c r="AA22">
        <f>_xlfn.COVARIANCE.S(
  INDEX(Excess_Returns!$C$3:$V$62,0,MATCH($H22,Excess_Returns!$C$1:$V$1,0)),
  INDEX(Excess_Returns!$C$3:$V$62,0,MATCH(AA$2,Excess_Returns!$C$1:$V$1,0))
)</f>
        <v>2.7503045323993163E-3</v>
      </c>
      <c r="AB22">
        <f>_xlfn.COVARIANCE.S(
  INDEX(Excess_Returns!$C$3:$V$62,0,MATCH($H22,Excess_Returns!$C$1:$V$1,0)),
  INDEX(Excess_Returns!$C$3:$V$62,0,MATCH(AB$2,Excess_Returns!$C$1:$V$1,0))
)</f>
        <v>3.1723904456820054E-3</v>
      </c>
    </row>
    <row r="38" spans="23:23" x14ac:dyDescent="0.2">
      <c r="W38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BD92D-AF96-6E42-90E1-EA34BA537B91}">
  <dimension ref="A1:AF96"/>
  <sheetViews>
    <sheetView zoomScale="44" workbookViewId="0">
      <selection activeCell="C18" sqref="C18"/>
    </sheetView>
  </sheetViews>
  <sheetFormatPr baseColWidth="10" defaultRowHeight="16" x14ac:dyDescent="0.2"/>
  <cols>
    <col min="1" max="1" width="22.1640625" customWidth="1"/>
    <col min="2" max="2" width="27.1640625" customWidth="1"/>
    <col min="3" max="9" width="21.83203125" customWidth="1"/>
    <col min="10" max="10" width="21.33203125" customWidth="1"/>
    <col min="13" max="14" width="11" bestFit="1" customWidth="1"/>
    <col min="15" max="16" width="13.33203125" bestFit="1" customWidth="1"/>
    <col min="17" max="32" width="11" bestFit="1" customWidth="1"/>
  </cols>
  <sheetData>
    <row r="1" spans="1:32" ht="17" thickBot="1" x14ac:dyDescent="0.25">
      <c r="A1" t="s">
        <v>88</v>
      </c>
      <c r="B1" t="s">
        <v>89</v>
      </c>
      <c r="C1" t="s">
        <v>90</v>
      </c>
      <c r="E1" t="s">
        <v>125</v>
      </c>
      <c r="F1" t="s">
        <v>126</v>
      </c>
      <c r="G1" t="s">
        <v>127</v>
      </c>
      <c r="H1" t="s">
        <v>120</v>
      </c>
      <c r="K1" s="6"/>
      <c r="L1" s="6" t="s">
        <v>91</v>
      </c>
      <c r="M1" s="6" t="s">
        <v>92</v>
      </c>
      <c r="N1" s="6" t="s">
        <v>93</v>
      </c>
      <c r="O1" s="6" t="s">
        <v>94</v>
      </c>
      <c r="P1" s="6" t="s">
        <v>95</v>
      </c>
      <c r="Q1" s="6" t="s">
        <v>96</v>
      </c>
      <c r="R1" s="6" t="s">
        <v>97</v>
      </c>
      <c r="S1" s="6" t="s">
        <v>98</v>
      </c>
      <c r="T1" s="6" t="s">
        <v>99</v>
      </c>
      <c r="U1" s="6" t="s">
        <v>100</v>
      </c>
      <c r="V1" s="6" t="s">
        <v>101</v>
      </c>
      <c r="W1" s="6" t="s">
        <v>102</v>
      </c>
      <c r="X1" s="6" t="s">
        <v>103</v>
      </c>
      <c r="Y1" s="6" t="s">
        <v>104</v>
      </c>
      <c r="Z1" s="6" t="s">
        <v>105</v>
      </c>
      <c r="AA1" s="6" t="s">
        <v>106</v>
      </c>
      <c r="AB1" s="6" t="s">
        <v>107</v>
      </c>
      <c r="AC1" s="6" t="s">
        <v>108</v>
      </c>
      <c r="AD1" s="6" t="s">
        <v>109</v>
      </c>
      <c r="AE1" s="6" t="s">
        <v>110</v>
      </c>
      <c r="AF1" s="6" t="s">
        <v>111</v>
      </c>
    </row>
    <row r="2" spans="1:32" x14ac:dyDescent="0.2">
      <c r="A2" t="s">
        <v>79</v>
      </c>
      <c r="B2">
        <f>AVERAGE(Excess_Returns!S$2:S$62)</f>
        <v>6.6524748763093389E-2</v>
      </c>
      <c r="C2">
        <f>_xlfn.STDEV.S(Excess_Returns!S2:S62)</f>
        <v>0.2229913817271037</v>
      </c>
      <c r="E2">
        <f>SLOPE(Excess_Returns!$S$3:$S$63, Excess_Returns!$B$3:$B$63)</f>
        <v>2.3912524086068259</v>
      </c>
      <c r="F2">
        <v>0.1</v>
      </c>
      <c r="G2">
        <v>1.0999999999999999E-2</v>
      </c>
      <c r="K2" t="s">
        <v>91</v>
      </c>
      <c r="L2" s="6"/>
      <c r="M2" s="6" t="s">
        <v>63</v>
      </c>
      <c r="N2" s="6" t="s">
        <v>64</v>
      </c>
      <c r="O2" s="6" t="s">
        <v>65</v>
      </c>
      <c r="P2" s="6" t="s">
        <v>66</v>
      </c>
      <c r="Q2" s="6" t="s">
        <v>67</v>
      </c>
      <c r="R2" s="6" t="s">
        <v>68</v>
      </c>
      <c r="S2" s="6" t="s">
        <v>69</v>
      </c>
      <c r="T2" s="6" t="s">
        <v>70</v>
      </c>
      <c r="U2" s="6" t="s">
        <v>71</v>
      </c>
      <c r="V2" s="6" t="s">
        <v>72</v>
      </c>
      <c r="W2" s="6" t="s">
        <v>73</v>
      </c>
      <c r="X2" s="6" t="s">
        <v>74</v>
      </c>
      <c r="Y2" s="6" t="s">
        <v>75</v>
      </c>
      <c r="Z2" s="6" t="s">
        <v>76</v>
      </c>
      <c r="AA2" s="6" t="s">
        <v>77</v>
      </c>
      <c r="AB2" s="6" t="s">
        <v>78</v>
      </c>
      <c r="AC2" s="6" t="s">
        <v>79</v>
      </c>
      <c r="AD2" s="6" t="s">
        <v>80</v>
      </c>
      <c r="AE2" s="6" t="s">
        <v>81</v>
      </c>
      <c r="AF2" s="6" t="s">
        <v>82</v>
      </c>
    </row>
    <row r="3" spans="1:32" x14ac:dyDescent="0.2">
      <c r="A3" t="s">
        <v>66</v>
      </c>
      <c r="B3">
        <f>AVERAGE(Excess_Returns!F$2:F$62)</f>
        <v>6.3391182852659739E-2</v>
      </c>
      <c r="C3">
        <f>_xlfn.STDEV.S(Excess_Returns!F2:F62)</f>
        <v>0.1431679377450947</v>
      </c>
      <c r="E3">
        <f>SLOPE(Excess_Returns!$F$3:$F$63, Excess_Returns!$B$3:$B$63)</f>
        <v>1.6181280738524384</v>
      </c>
      <c r="F3">
        <v>0.1</v>
      </c>
      <c r="G3">
        <v>1.2E-2</v>
      </c>
      <c r="K3" t="s">
        <v>92</v>
      </c>
      <c r="L3" t="s">
        <v>63</v>
      </c>
      <c r="M3">
        <f>VARP(Excess_Returns!$C$2:$C$62)</f>
        <v>6.9697777260178707E-3</v>
      </c>
    </row>
    <row r="4" spans="1:32" x14ac:dyDescent="0.2">
      <c r="A4" t="s">
        <v>77</v>
      </c>
      <c r="B4">
        <f>AVERAGE(Excess_Returns!Q$2:Q$62)</f>
        <v>2.2271314265605694E-2</v>
      </c>
      <c r="C4">
        <f>_xlfn.STDEV.S(Excess_Returns!Q2:Q62)</f>
        <v>0.1914057576651447</v>
      </c>
      <c r="E4">
        <f>SLOPE(Excess_Returns!$Q$3:$Q$63, Excess_Returns!$B$3:$B$63)</f>
        <v>1.6163808888069049</v>
      </c>
      <c r="F4">
        <v>0.1</v>
      </c>
      <c r="G4">
        <v>1.2999999999999999E-2</v>
      </c>
      <c r="K4" t="s">
        <v>93</v>
      </c>
      <c r="L4" t="s">
        <v>64</v>
      </c>
      <c r="M4">
        <v>3.7194057778716428E-3</v>
      </c>
      <c r="N4">
        <f>VARP(Excess_Returns!$D$2:$D$62)</f>
        <v>4.1160895327409814E-3</v>
      </c>
    </row>
    <row r="5" spans="1:32" x14ac:dyDescent="0.2">
      <c r="A5" t="s">
        <v>76</v>
      </c>
      <c r="B5">
        <f>AVERAGE(Excess_Returns!P$2:P$62)</f>
        <v>1.3419479440416651E-2</v>
      </c>
      <c r="C5">
        <f>_xlfn.STDEV.S(Excess_Returns!P2:P62)</f>
        <v>0.14595209469657913</v>
      </c>
      <c r="E5">
        <f>SLOPE(Excess_Returns!$P$3:$P$63, Excess_Returns!$B$3:$B$63)</f>
        <v>1.5309231615514431</v>
      </c>
      <c r="F5">
        <v>0.1</v>
      </c>
      <c r="G5">
        <v>1.4E-2</v>
      </c>
      <c r="K5" t="s">
        <v>94</v>
      </c>
      <c r="L5" t="s">
        <v>65</v>
      </c>
      <c r="M5">
        <v>3.3813289833116286E-3</v>
      </c>
      <c r="N5">
        <v>3.2178532223153572E-3</v>
      </c>
      <c r="O5">
        <f>VARP(Excess_Returns!$E$2:$E$62)</f>
        <v>5.8221059432618837E-3</v>
      </c>
    </row>
    <row r="6" spans="1:32" x14ac:dyDescent="0.2">
      <c r="A6" t="s">
        <v>63</v>
      </c>
      <c r="B6">
        <f>AVERAGE(Excess_Returns!C$2:C$62)</f>
        <v>2.3225347217397125E-2</v>
      </c>
      <c r="C6">
        <f>_xlfn.STDEV.S(Excess_Returns!C2:C62)</f>
        <v>8.4189723552715034E-2</v>
      </c>
      <c r="E6">
        <f>SLOPE(Excess_Returns!$C$3:$C$63, Excess_Returns!$B$3:$B$63)</f>
        <v>1.236533851994768</v>
      </c>
      <c r="F6">
        <v>0.1</v>
      </c>
      <c r="G6">
        <v>1.4999999999999999E-2</v>
      </c>
      <c r="K6" t="s">
        <v>95</v>
      </c>
      <c r="L6" t="s">
        <v>66</v>
      </c>
      <c r="M6">
        <v>6.2444998186506973E-3</v>
      </c>
      <c r="N6">
        <v>5.8232962164234368E-3</v>
      </c>
      <c r="O6">
        <v>6.1261088564269223E-3</v>
      </c>
      <c r="P6">
        <f>VARP(Excess_Returns!$F$2:$F$62)</f>
        <v>2.0155440758213589E-2</v>
      </c>
    </row>
    <row r="7" spans="1:32" x14ac:dyDescent="0.2">
      <c r="A7" t="s">
        <v>75</v>
      </c>
      <c r="B7">
        <f>AVERAGE(Excess_Returns!O$2:O$62)</f>
        <v>1.7545654462175035E-2</v>
      </c>
      <c r="C7">
        <f>_xlfn.STDEV.S(Excess_Returns!O2:O62)</f>
        <v>0.12803189006152058</v>
      </c>
      <c r="E7">
        <f>SLOPE(Excess_Returns!$O$3:$O$63, Excess_Returns!$B$3:$B$63)</f>
        <v>1.1981324046428181</v>
      </c>
      <c r="F7">
        <v>0.1</v>
      </c>
      <c r="G7">
        <v>1.6E-2</v>
      </c>
      <c r="K7" t="s">
        <v>96</v>
      </c>
      <c r="L7" t="s">
        <v>67</v>
      </c>
      <c r="M7">
        <v>3.8698756023326417E-3</v>
      </c>
      <c r="N7">
        <v>4.1197836453171618E-3</v>
      </c>
      <c r="O7">
        <v>4.0491451504731492E-3</v>
      </c>
      <c r="P7">
        <v>8.8121586317904191E-3</v>
      </c>
      <c r="Q7">
        <f>VARP(Excess_Returns!$G$2:$G$62)</f>
        <v>1.3747151446481002E-2</v>
      </c>
    </row>
    <row r="8" spans="1:32" x14ac:dyDescent="0.2">
      <c r="A8" t="s">
        <v>67</v>
      </c>
      <c r="B8">
        <f>AVERAGE(Excess_Returns!G$2:G$62)</f>
        <v>2.2760690581831267E-2</v>
      </c>
      <c r="C8">
        <f>_xlfn.STDEV.S(Excess_Returns!G2:G62)</f>
        <v>0.1182377013197166</v>
      </c>
      <c r="E8">
        <f>SLOPE(Excess_Returns!$G$3:$G$63, Excess_Returns!$B$3:$B$63)</f>
        <v>1.178182449190706</v>
      </c>
      <c r="F8">
        <v>0.1</v>
      </c>
      <c r="G8">
        <v>1.7000000000000001E-2</v>
      </c>
      <c r="K8" t="s">
        <v>97</v>
      </c>
      <c r="L8" t="s">
        <v>68</v>
      </c>
      <c r="M8">
        <v>1.7245379145958671E-3</v>
      </c>
      <c r="N8">
        <v>9.9439749897462675E-4</v>
      </c>
      <c r="O8">
        <v>6.4522345829965474E-4</v>
      </c>
      <c r="P8">
        <v>-6.9139278764525233E-5</v>
      </c>
      <c r="Q8">
        <v>1.1203528676168239E-3</v>
      </c>
      <c r="R8">
        <f>VARP(Excess_Returns!$H$2:$H$62)</f>
        <v>2.4981896648805903E-3</v>
      </c>
    </row>
    <row r="9" spans="1:32" x14ac:dyDescent="0.2">
      <c r="A9" t="s">
        <v>78</v>
      </c>
      <c r="B9">
        <f>AVERAGE(Excess_Returns!R$2:R$62)</f>
        <v>1.6300847675336873E-2</v>
      </c>
      <c r="C9">
        <f>_xlfn.STDEV.S(Excess_Returns!R2:R62)</f>
        <v>9.462876324759871E-2</v>
      </c>
      <c r="E9">
        <f>SLOPE(Excess_Returns!$R$3:$R$63, Excess_Returns!$B$3:$B$63)</f>
        <v>1.1595746639983275</v>
      </c>
      <c r="F9">
        <v>0.1</v>
      </c>
      <c r="G9">
        <v>1.7999999999999999E-2</v>
      </c>
      <c r="K9" t="s">
        <v>98</v>
      </c>
      <c r="L9" t="s">
        <v>69</v>
      </c>
      <c r="M9">
        <v>2.2541026532697421E-3</v>
      </c>
      <c r="N9">
        <v>1.1424350557831906E-3</v>
      </c>
      <c r="O9">
        <v>1.5964456036896581E-3</v>
      </c>
      <c r="P9">
        <v>2.35463336275747E-3</v>
      </c>
      <c r="Q9">
        <v>1.7445668042738438E-3</v>
      </c>
      <c r="R9">
        <v>2.1631439571890101E-3</v>
      </c>
      <c r="S9">
        <f>VARP(Excess_Returns!$I$2:$I$62)</f>
        <v>6.1839704623539854E-3</v>
      </c>
    </row>
    <row r="10" spans="1:32" x14ac:dyDescent="0.2">
      <c r="A10" t="s">
        <v>74</v>
      </c>
      <c r="B10">
        <f>AVERAGE(Excess_Returns!N$2:N$62)</f>
        <v>1.0201657664542013E-2</v>
      </c>
      <c r="C10">
        <f>_xlfn.STDEV.S(Excess_Returns!N2:N62)</f>
        <v>9.6930882401685847E-2</v>
      </c>
      <c r="E10">
        <f>SLOPE(Excess_Returns!$N$3:$N$63, Excess_Returns!$B$3:$B$63)</f>
        <v>1.1077644164942821</v>
      </c>
      <c r="F10">
        <v>0.1</v>
      </c>
      <c r="G10">
        <v>1.9E-2</v>
      </c>
      <c r="K10" t="s">
        <v>99</v>
      </c>
      <c r="L10" t="s">
        <v>70</v>
      </c>
      <c r="M10">
        <v>1.8997141159471525E-3</v>
      </c>
      <c r="N10">
        <v>1.3175471236586056E-3</v>
      </c>
      <c r="O10">
        <v>1.1841454668124339E-3</v>
      </c>
      <c r="P10">
        <v>-3.0610408515585231E-5</v>
      </c>
      <c r="Q10">
        <v>3.0004694726029374E-4</v>
      </c>
      <c r="R10">
        <v>1.729299811997931E-3</v>
      </c>
      <c r="S10">
        <v>2.1592126900166083E-3</v>
      </c>
      <c r="T10">
        <f>VARP(Excess_Returns!$J$2:$J$62)</f>
        <v>3.4802606045371896E-3</v>
      </c>
    </row>
    <row r="11" spans="1:32" x14ac:dyDescent="0.2">
      <c r="A11" t="s">
        <v>81</v>
      </c>
      <c r="B11">
        <f>AVERAGE(Excess_Returns!U$2:U$62)</f>
        <v>1.300707307597276E-2</v>
      </c>
      <c r="C11">
        <f>_xlfn.STDEV.S(Excess_Returns!U2:U62)</f>
        <v>7.3387187311940605E-2</v>
      </c>
      <c r="E11">
        <f>SLOPE(Excess_Returns!$U$3:$U$63, Excess_Returns!$B$3:$B$63)</f>
        <v>1.0285922571738486</v>
      </c>
      <c r="F11">
        <v>0.1</v>
      </c>
      <c r="G11">
        <v>0.02</v>
      </c>
      <c r="K11" t="s">
        <v>100</v>
      </c>
      <c r="L11" t="s">
        <v>71</v>
      </c>
      <c r="M11">
        <v>7.0726300218440562E-4</v>
      </c>
      <c r="N11">
        <v>1.0346507428820376E-3</v>
      </c>
      <c r="O11">
        <v>-4.9557672440762639E-5</v>
      </c>
      <c r="P11">
        <v>3.6658041021060743E-4</v>
      </c>
      <c r="Q11">
        <v>4.8474088272350377E-4</v>
      </c>
      <c r="R11">
        <v>1.5239673593192777E-3</v>
      </c>
      <c r="S11">
        <v>6.372981142962334E-4</v>
      </c>
      <c r="T11">
        <v>1.2798047846459761E-3</v>
      </c>
      <c r="U11">
        <f>VARP(Excess_Returns!$K$2:$K$62)</f>
        <v>3.8850241777957546E-3</v>
      </c>
    </row>
    <row r="12" spans="1:32" x14ac:dyDescent="0.2">
      <c r="F12">
        <f>SUM(F2:F11)</f>
        <v>0.99999999999999989</v>
      </c>
      <c r="G12">
        <v>2.1000000000000001E-2</v>
      </c>
      <c r="K12" t="s">
        <v>101</v>
      </c>
      <c r="L12" t="s">
        <v>72</v>
      </c>
      <c r="M12">
        <v>1.1015352374847975E-3</v>
      </c>
      <c r="N12">
        <v>9.7883976050538242E-4</v>
      </c>
      <c r="O12">
        <v>1.4019305543162164E-3</v>
      </c>
      <c r="P12">
        <v>1.7630673342389832E-3</v>
      </c>
      <c r="Q12">
        <v>1.2952312222542061E-3</v>
      </c>
      <c r="R12">
        <v>1.6371797346724155E-3</v>
      </c>
      <c r="S12">
        <v>2.0136954696775749E-3</v>
      </c>
      <c r="T12">
        <v>1.7736848500158691E-3</v>
      </c>
      <c r="U12">
        <v>1.0326643904994385E-3</v>
      </c>
      <c r="V12">
        <f>VARP(Excess_Returns!$L$2:$L$62)</f>
        <v>4.9069758842837704E-3</v>
      </c>
    </row>
    <row r="13" spans="1:32" x14ac:dyDescent="0.2">
      <c r="G13">
        <v>2.1999999999999999E-2</v>
      </c>
      <c r="K13" t="s">
        <v>102</v>
      </c>
      <c r="L13" t="s">
        <v>73</v>
      </c>
      <c r="M13">
        <v>1.5895421772042779E-3</v>
      </c>
      <c r="N13">
        <v>7.8345538264260842E-4</v>
      </c>
      <c r="O13">
        <v>1.8234878285642308E-3</v>
      </c>
      <c r="P13">
        <v>5.0477484290723482E-5</v>
      </c>
      <c r="Q13">
        <v>-3.4699592227773119E-4</v>
      </c>
      <c r="R13">
        <v>1.6998276318337543E-3</v>
      </c>
      <c r="S13">
        <v>8.869961092380403E-4</v>
      </c>
      <c r="T13">
        <v>1.777316389636285E-3</v>
      </c>
      <c r="U13">
        <v>2.3465010526847459E-3</v>
      </c>
      <c r="V13">
        <v>2.3050913798347127E-3</v>
      </c>
      <c r="W13">
        <f>VARP(Excess_Returns!$M$2:$M$62)</f>
        <v>9.5192995478333552E-3</v>
      </c>
    </row>
    <row r="14" spans="1:32" x14ac:dyDescent="0.2">
      <c r="G14">
        <v>2.3E-2</v>
      </c>
      <c r="K14" t="s">
        <v>103</v>
      </c>
      <c r="L14" t="s">
        <v>74</v>
      </c>
      <c r="M14">
        <v>2.2817584871805074E-3</v>
      </c>
      <c r="N14">
        <v>1.3386718668713146E-3</v>
      </c>
      <c r="O14">
        <v>2.5990836639466128E-3</v>
      </c>
      <c r="P14">
        <v>1.6779212654375994E-3</v>
      </c>
      <c r="Q14">
        <v>1.0704136807067974E-4</v>
      </c>
      <c r="R14">
        <v>1.9125076970810083E-3</v>
      </c>
      <c r="S14">
        <v>2.064302429946954E-3</v>
      </c>
      <c r="T14">
        <v>2.5676884152458159E-3</v>
      </c>
      <c r="U14">
        <v>2.0787389042100347E-3</v>
      </c>
      <c r="V14">
        <v>3.1610191693671403E-3</v>
      </c>
      <c r="W14">
        <v>8.3403794682183844E-3</v>
      </c>
      <c r="X14">
        <f>VARP(Excess_Returns!$N$2:$N$62)</f>
        <v>9.2390026971166262E-3</v>
      </c>
    </row>
    <row r="15" spans="1:32" x14ac:dyDescent="0.2">
      <c r="G15">
        <v>2.4E-2</v>
      </c>
      <c r="K15" t="s">
        <v>104</v>
      </c>
      <c r="L15" t="s">
        <v>75</v>
      </c>
      <c r="M15">
        <v>1.9686423699606707E-3</v>
      </c>
      <c r="N15">
        <v>1.1054120703049668E-3</v>
      </c>
      <c r="O15">
        <v>3.0030494032125903E-3</v>
      </c>
      <c r="P15">
        <v>7.195233510777062E-4</v>
      </c>
      <c r="Q15">
        <v>3.0031167250730521E-4</v>
      </c>
      <c r="R15">
        <v>2.0054430938774809E-3</v>
      </c>
      <c r="S15">
        <v>1.2416954366351674E-3</v>
      </c>
      <c r="T15">
        <v>2.3036944790906693E-3</v>
      </c>
      <c r="U15">
        <v>2.2485539911301024E-3</v>
      </c>
      <c r="V15">
        <v>3.1730180265928578E-3</v>
      </c>
      <c r="W15">
        <v>1.0808983732534359E-2</v>
      </c>
      <c r="X15">
        <v>1.0484757307174462E-2</v>
      </c>
      <c r="Y15">
        <f>VARP(Excess_Returns!$O$2:$O$62)</f>
        <v>1.611896212484654E-2</v>
      </c>
    </row>
    <row r="16" spans="1:32" x14ac:dyDescent="0.2">
      <c r="G16">
        <v>2.5000000000000001E-2</v>
      </c>
      <c r="K16" t="s">
        <v>105</v>
      </c>
      <c r="L16" t="s">
        <v>76</v>
      </c>
      <c r="M16">
        <v>3.0878864473866943E-3</v>
      </c>
      <c r="N16">
        <v>1.0708297976726791E-3</v>
      </c>
      <c r="O16">
        <v>2.873441035265462E-3</v>
      </c>
      <c r="P16">
        <v>1.4733749769591112E-3</v>
      </c>
      <c r="Q16">
        <v>4.4371059523364503E-4</v>
      </c>
      <c r="R16">
        <v>2.6999412918357916E-3</v>
      </c>
      <c r="S16">
        <v>1.8131000492010742E-3</v>
      </c>
      <c r="T16">
        <v>2.9199860331491573E-3</v>
      </c>
      <c r="U16">
        <v>3.1808940140421386E-3</v>
      </c>
      <c r="V16">
        <v>4.5610846150961389E-3</v>
      </c>
      <c r="W16">
        <v>1.2277625318322834E-2</v>
      </c>
      <c r="X16">
        <v>1.1769019897327981E-2</v>
      </c>
      <c r="Y16">
        <v>1.6206611656076647E-2</v>
      </c>
      <c r="Z16">
        <f>VARP(Excess_Returns!$P$2:$P$62)</f>
        <v>2.0946980380547219E-2</v>
      </c>
    </row>
    <row r="17" spans="2:32" x14ac:dyDescent="0.2">
      <c r="G17">
        <v>2.5999999999999999E-2</v>
      </c>
      <c r="K17" t="s">
        <v>106</v>
      </c>
      <c r="L17" t="s">
        <v>77</v>
      </c>
      <c r="M17">
        <v>3.5709804091679691E-3</v>
      </c>
      <c r="N17">
        <v>2.8449495278273281E-3</v>
      </c>
      <c r="O17">
        <v>4.1979530279988332E-3</v>
      </c>
      <c r="P17">
        <v>6.9013062545498149E-4</v>
      </c>
      <c r="Q17">
        <v>5.062029653737862E-4</v>
      </c>
      <c r="R17">
        <v>2.1793602812125242E-3</v>
      </c>
      <c r="S17">
        <v>7.0975968889610164E-4</v>
      </c>
      <c r="T17">
        <v>2.5109185427305927E-3</v>
      </c>
      <c r="U17">
        <v>2.333911068394875E-3</v>
      </c>
      <c r="V17">
        <v>5.2509655635608072E-3</v>
      </c>
      <c r="W17">
        <v>1.4619648935874446E-2</v>
      </c>
      <c r="X17">
        <v>1.4199754555830052E-2</v>
      </c>
      <c r="Y17">
        <v>2.0319565112004809E-2</v>
      </c>
      <c r="Z17">
        <v>2.0714530406868024E-2</v>
      </c>
      <c r="AA17">
        <f>VARP(Excess_Returns!$Q$2:$Q$62)</f>
        <v>3.6025561332911966E-2</v>
      </c>
    </row>
    <row r="18" spans="2:32" x14ac:dyDescent="0.2">
      <c r="B18" t="s">
        <v>128</v>
      </c>
      <c r="C18">
        <f>SUMPRODUCT(B2:B11, C2:C11)</f>
        <v>4.0510337323888694E-2</v>
      </c>
      <c r="G18">
        <v>2.7E-2</v>
      </c>
      <c r="K18" t="s">
        <v>107</v>
      </c>
      <c r="L18" t="s">
        <v>78</v>
      </c>
      <c r="M18">
        <v>5.3703929171360805E-3</v>
      </c>
      <c r="N18">
        <v>4.0586643196025502E-3</v>
      </c>
      <c r="O18">
        <v>4.3867220778879609E-3</v>
      </c>
      <c r="P18">
        <v>8.2121472535378708E-3</v>
      </c>
      <c r="Q18">
        <v>5.1394480430527927E-3</v>
      </c>
      <c r="R18">
        <v>4.2191940756749954E-4</v>
      </c>
      <c r="S18">
        <v>9.3171841581208713E-4</v>
      </c>
      <c r="T18">
        <v>9.2346312588098751E-4</v>
      </c>
      <c r="U18">
        <v>-4.6141350464523471E-4</v>
      </c>
      <c r="V18">
        <v>-2.7187455008283352E-4</v>
      </c>
      <c r="W18">
        <v>5.3520676947749776E-4</v>
      </c>
      <c r="X18">
        <v>1.593211232792664E-3</v>
      </c>
      <c r="Y18">
        <v>1.4526452776318379E-3</v>
      </c>
      <c r="Z18">
        <v>6.0189728804290908E-4</v>
      </c>
      <c r="AA18">
        <v>3.3787444632218857E-3</v>
      </c>
      <c r="AB18">
        <f>VARP(Excess_Returns!$R$2:$R$62)</f>
        <v>8.8053594532072534E-3</v>
      </c>
    </row>
    <row r="19" spans="2:32" x14ac:dyDescent="0.2">
      <c r="G19">
        <v>2.8000000000000001E-2</v>
      </c>
      <c r="K19" t="s">
        <v>108</v>
      </c>
      <c r="L19" t="s">
        <v>79</v>
      </c>
      <c r="M19">
        <v>1.2905494511375929E-2</v>
      </c>
      <c r="N19">
        <v>7.4405975479535135E-3</v>
      </c>
      <c r="O19">
        <v>7.4541619627783891E-3</v>
      </c>
      <c r="P19">
        <v>1.2625555958595974E-2</v>
      </c>
      <c r="Q19">
        <v>7.9526771865113931E-3</v>
      </c>
      <c r="R19">
        <v>2.4884432323623818E-3</v>
      </c>
      <c r="S19">
        <v>1.5679518374295852E-3</v>
      </c>
      <c r="T19">
        <v>3.2163931332405099E-3</v>
      </c>
      <c r="U19">
        <v>3.7145314729790553E-6</v>
      </c>
      <c r="V19">
        <v>6.7743019770519111E-4</v>
      </c>
      <c r="W19">
        <v>1.7326320784981271E-3</v>
      </c>
      <c r="X19">
        <v>4.7279576137686579E-3</v>
      </c>
      <c r="Y19">
        <v>4.5434688945646525E-3</v>
      </c>
      <c r="Z19">
        <v>5.4075858170473034E-3</v>
      </c>
      <c r="AA19">
        <v>1.1006070067713388E-2</v>
      </c>
      <c r="AB19">
        <v>1.3364870160482508E-2</v>
      </c>
      <c r="AC19">
        <f>VARP(Excess_Returns!$S$2:$S$62)</f>
        <v>4.8896403719153492E-2</v>
      </c>
    </row>
    <row r="20" spans="2:32" x14ac:dyDescent="0.2">
      <c r="B20" t="s">
        <v>129</v>
      </c>
      <c r="C20" t="e" cm="1">
        <f t="array" ref="C20">SUMPRODUCT(
  $F$2:$F$11,
  INDEX(Stats!#REF!,
    MATCH($A$2:$A$11, Stats!$A$3:$A$22, 0),
    MATCH($A$2:$A$11, Stats!#REF!, 0)
  ),
  $F$2:$F$11
)</f>
        <v>#REF!</v>
      </c>
      <c r="G20">
        <v>2.9000000000000001E-2</v>
      </c>
      <c r="K20" t="s">
        <v>109</v>
      </c>
      <c r="L20" t="s">
        <v>80</v>
      </c>
      <c r="M20">
        <v>3.5239311747048969E-3</v>
      </c>
      <c r="N20">
        <v>2.837948168122606E-3</v>
      </c>
      <c r="O20">
        <v>1.805662724637241E-3</v>
      </c>
      <c r="P20">
        <v>4.5840338222562513E-3</v>
      </c>
      <c r="Q20">
        <v>3.3722648926290803E-3</v>
      </c>
      <c r="R20">
        <v>1.5082438100598821E-3</v>
      </c>
      <c r="S20">
        <v>1.6271883825911394E-3</v>
      </c>
      <c r="T20">
        <v>1.9704223486816715E-3</v>
      </c>
      <c r="U20">
        <v>1.8582511381249377E-3</v>
      </c>
      <c r="V20">
        <v>1.409509227146766E-3</v>
      </c>
      <c r="W20">
        <v>1.9859982314292335E-3</v>
      </c>
      <c r="X20">
        <v>2.5722937623079267E-3</v>
      </c>
      <c r="Y20">
        <v>2.4743840396160293E-3</v>
      </c>
      <c r="Z20">
        <v>3.6675173436593001E-3</v>
      </c>
      <c r="AA20">
        <v>2.1438750341750291E-3</v>
      </c>
      <c r="AB20">
        <v>1.91170769404652E-3</v>
      </c>
      <c r="AC20">
        <v>5.3536185158167071E-3</v>
      </c>
      <c r="AD20">
        <f>VARP(Excess_Returns!$T$2:$T$62)</f>
        <v>8.03748981654126E-3</v>
      </c>
    </row>
    <row r="21" spans="2:32" x14ac:dyDescent="0.2">
      <c r="B21" t="s">
        <v>130</v>
      </c>
      <c r="C21" t="e">
        <f>SQRT(C20)</f>
        <v>#REF!</v>
      </c>
      <c r="G21">
        <v>0.03</v>
      </c>
      <c r="K21" t="s">
        <v>110</v>
      </c>
      <c r="L21" t="s">
        <v>81</v>
      </c>
      <c r="M21">
        <v>3.0667104291000739E-3</v>
      </c>
      <c r="N21">
        <v>2.3240787715402178E-3</v>
      </c>
      <c r="O21">
        <v>2.0595648990559628E-3</v>
      </c>
      <c r="P21">
        <v>3.7893177135672213E-3</v>
      </c>
      <c r="Q21">
        <v>3.9643700466565589E-3</v>
      </c>
      <c r="R21">
        <v>1.6694422441901424E-3</v>
      </c>
      <c r="S21">
        <v>2.6188974535346168E-3</v>
      </c>
      <c r="T21">
        <v>1.8708888774968942E-3</v>
      </c>
      <c r="U21">
        <v>1.2209554438331364E-3</v>
      </c>
      <c r="V21">
        <v>1.3826250080006314E-3</v>
      </c>
      <c r="W21">
        <v>1.6928303503543915E-3</v>
      </c>
      <c r="X21">
        <v>2.6112730150872681E-3</v>
      </c>
      <c r="Y21">
        <v>2.3353141247052568E-3</v>
      </c>
      <c r="Z21">
        <v>3.3394981043823714E-3</v>
      </c>
      <c r="AA21">
        <v>1.7881335226004492E-3</v>
      </c>
      <c r="AB21">
        <v>2.7341997356755804E-3</v>
      </c>
      <c r="AC21">
        <v>6.7290465268334525E-3</v>
      </c>
      <c r="AD21">
        <v>3.2641912187137494E-3</v>
      </c>
      <c r="AE21">
        <f>VARP(Excess_Returns!$U$2:$U$62)</f>
        <v>5.2959179405318918E-3</v>
      </c>
    </row>
    <row r="22" spans="2:32" ht="17" thickBot="1" x14ac:dyDescent="0.25">
      <c r="K22" s="5" t="s">
        <v>111</v>
      </c>
      <c r="L22" s="5" t="s">
        <v>82</v>
      </c>
      <c r="M22" s="5">
        <v>2.7064755080911385E-3</v>
      </c>
      <c r="N22" s="5">
        <v>1.4638066694113762E-3</v>
      </c>
      <c r="O22" s="5">
        <v>1.425517203530731E-3</v>
      </c>
      <c r="P22" s="5">
        <v>1.1746561814604606E-3</v>
      </c>
      <c r="Q22" s="5">
        <v>1.6076410407851243E-3</v>
      </c>
      <c r="R22" s="5">
        <v>1.6267806037239608E-3</v>
      </c>
      <c r="S22" s="5">
        <v>1.6398923239964273E-3</v>
      </c>
      <c r="T22" s="5">
        <v>1.580877840317957E-3</v>
      </c>
      <c r="U22" s="5">
        <v>1.3088464960233006E-3</v>
      </c>
      <c r="V22" s="5">
        <v>9.1783572255329799E-4</v>
      </c>
      <c r="W22" s="5">
        <v>2.0567124853856943E-3</v>
      </c>
      <c r="X22" s="5">
        <v>2.3521939961699207E-3</v>
      </c>
      <c r="Y22" s="5">
        <v>2.528763951943023E-3</v>
      </c>
      <c r="Z22" s="5">
        <v>3.1701517291885086E-3</v>
      </c>
      <c r="AA22" s="5">
        <v>2.6022260157242479E-3</v>
      </c>
      <c r="AB22" s="5">
        <v>1.3673102615894754E-3</v>
      </c>
      <c r="AC22" s="5">
        <v>4.4869869870846129E-3</v>
      </c>
      <c r="AD22" s="5">
        <v>2.7450015746464515E-3</v>
      </c>
      <c r="AE22" s="5">
        <v>2.7044661235259945E-3</v>
      </c>
      <c r="AF22" s="5">
        <f>VARP(Excess_Returns!$V$2:$V$62)</f>
        <v>3.1195172715873065E-3</v>
      </c>
    </row>
    <row r="24" spans="2:32" x14ac:dyDescent="0.2">
      <c r="E24" s="8" t="s">
        <v>90</v>
      </c>
    </row>
    <row r="25" spans="2:32" x14ac:dyDescent="0.2">
      <c r="E25" s="8">
        <v>0.22299138199999999</v>
      </c>
    </row>
    <row r="26" spans="2:32" x14ac:dyDescent="0.2">
      <c r="E26" s="8">
        <v>0.14316793799999999</v>
      </c>
    </row>
    <row r="27" spans="2:32" x14ac:dyDescent="0.2">
      <c r="E27" s="8">
        <v>0.19140575800000001</v>
      </c>
    </row>
    <row r="28" spans="2:32" x14ac:dyDescent="0.2">
      <c r="E28" s="8">
        <v>0.145952095</v>
      </c>
    </row>
    <row r="29" spans="2:32" x14ac:dyDescent="0.2">
      <c r="E29" s="8">
        <v>8.4189723999999994E-2</v>
      </c>
    </row>
    <row r="30" spans="2:32" x14ac:dyDescent="0.2">
      <c r="E30" s="8">
        <v>0.12803189000000001</v>
      </c>
    </row>
    <row r="31" spans="2:32" x14ac:dyDescent="0.2">
      <c r="E31" s="8">
        <v>0.118237701</v>
      </c>
    </row>
    <row r="32" spans="2:32" x14ac:dyDescent="0.2">
      <c r="E32" s="8">
        <v>9.4628763000000005E-2</v>
      </c>
    </row>
    <row r="33" spans="5:5" x14ac:dyDescent="0.2">
      <c r="E33" s="8">
        <v>9.6930881999999996E-2</v>
      </c>
    </row>
    <row r="34" spans="5:5" x14ac:dyDescent="0.2">
      <c r="E34" s="8">
        <v>7.3387187000000006E-2</v>
      </c>
    </row>
    <row r="35" spans="5:5" x14ac:dyDescent="0.2">
      <c r="E35" s="8"/>
    </row>
    <row r="36" spans="5:5" x14ac:dyDescent="0.2">
      <c r="E36" s="8"/>
    </row>
    <row r="37" spans="5:5" x14ac:dyDescent="0.2">
      <c r="E37" s="8"/>
    </row>
    <row r="38" spans="5:5" x14ac:dyDescent="0.2">
      <c r="E38" s="8"/>
    </row>
    <row r="39" spans="5:5" x14ac:dyDescent="0.2">
      <c r="E39" s="8"/>
    </row>
    <row r="40" spans="5:5" x14ac:dyDescent="0.2">
      <c r="E40" s="8"/>
    </row>
    <row r="41" spans="5:5" x14ac:dyDescent="0.2">
      <c r="E41" s="8">
        <v>4.0510337E-2</v>
      </c>
    </row>
    <row r="42" spans="5:5" x14ac:dyDescent="0.2">
      <c r="E42" s="8"/>
    </row>
    <row r="43" spans="5:5" x14ac:dyDescent="0.2">
      <c r="E43" s="8">
        <v>1.862006E-3</v>
      </c>
    </row>
    <row r="44" spans="5:5" x14ac:dyDescent="0.2">
      <c r="E44" s="8">
        <v>4.3150963000000001E-2</v>
      </c>
    </row>
    <row r="45" spans="5:5" x14ac:dyDescent="0.2">
      <c r="E45" s="8"/>
    </row>
    <row r="52" spans="5:5" x14ac:dyDescent="0.2">
      <c r="E52" s="8" t="s">
        <v>89</v>
      </c>
    </row>
    <row r="53" spans="5:5" x14ac:dyDescent="0.2">
      <c r="E53" s="8">
        <v>6.6524748999999994E-2</v>
      </c>
    </row>
    <row r="54" spans="5:5" x14ac:dyDescent="0.2">
      <c r="E54" s="8">
        <v>6.3391183000000004E-2</v>
      </c>
    </row>
    <row r="55" spans="5:5" x14ac:dyDescent="0.2">
      <c r="E55" s="8">
        <v>2.2271314E-2</v>
      </c>
    </row>
    <row r="56" spans="5:5" x14ac:dyDescent="0.2">
      <c r="E56" s="8">
        <v>1.3419479E-2</v>
      </c>
    </row>
    <row r="57" spans="5:5" x14ac:dyDescent="0.2">
      <c r="E57" s="8">
        <v>2.3225347E-2</v>
      </c>
    </row>
    <row r="58" spans="5:5" x14ac:dyDescent="0.2">
      <c r="E58" s="8">
        <v>1.7545654000000001E-2</v>
      </c>
    </row>
    <row r="59" spans="5:5" x14ac:dyDescent="0.2">
      <c r="E59" s="8">
        <v>2.2760691E-2</v>
      </c>
    </row>
    <row r="60" spans="5:5" x14ac:dyDescent="0.2">
      <c r="E60" s="8">
        <v>1.6300848E-2</v>
      </c>
    </row>
    <row r="61" spans="5:5" x14ac:dyDescent="0.2">
      <c r="E61" s="8">
        <v>1.0201658000000001E-2</v>
      </c>
    </row>
    <row r="62" spans="5:5" x14ac:dyDescent="0.2">
      <c r="E62" s="8">
        <v>1.3007072999999999E-2</v>
      </c>
    </row>
    <row r="63" spans="5:5" x14ac:dyDescent="0.2">
      <c r="E63" s="8"/>
    </row>
    <row r="64" spans="5:5" x14ac:dyDescent="0.2">
      <c r="E64" s="8"/>
    </row>
    <row r="65" spans="5:5" x14ac:dyDescent="0.2">
      <c r="E65" s="8"/>
    </row>
    <row r="66" spans="5:5" x14ac:dyDescent="0.2">
      <c r="E66" s="8"/>
    </row>
    <row r="67" spans="5:5" x14ac:dyDescent="0.2">
      <c r="E67" s="8"/>
    </row>
    <row r="68" spans="5:5" x14ac:dyDescent="0.2">
      <c r="E68" s="8"/>
    </row>
    <row r="69" spans="5:5" x14ac:dyDescent="0.2">
      <c r="E69" s="8" t="s">
        <v>128</v>
      </c>
    </row>
    <row r="70" spans="5:5" x14ac:dyDescent="0.2">
      <c r="E70" s="8"/>
    </row>
    <row r="71" spans="5:5" x14ac:dyDescent="0.2">
      <c r="E71" s="8" t="s">
        <v>129</v>
      </c>
    </row>
    <row r="72" spans="5:5" x14ac:dyDescent="0.2">
      <c r="E72" s="8" t="s">
        <v>130</v>
      </c>
    </row>
    <row r="73" spans="5:5" x14ac:dyDescent="0.2">
      <c r="E73" s="8"/>
    </row>
    <row r="74" spans="5:5" x14ac:dyDescent="0.2">
      <c r="E74" s="8"/>
    </row>
    <row r="75" spans="5:5" x14ac:dyDescent="0.2">
      <c r="E75" s="8"/>
    </row>
    <row r="76" spans="5:5" x14ac:dyDescent="0.2">
      <c r="E76" s="8"/>
    </row>
    <row r="77" spans="5:5" x14ac:dyDescent="0.2">
      <c r="E77" s="8"/>
    </row>
    <row r="78" spans="5:5" x14ac:dyDescent="0.2">
      <c r="E78" s="8"/>
    </row>
    <row r="79" spans="5:5" x14ac:dyDescent="0.2">
      <c r="E79" s="8"/>
    </row>
    <row r="80" spans="5:5" x14ac:dyDescent="0.2">
      <c r="E80" s="8"/>
    </row>
    <row r="81" spans="5:5" x14ac:dyDescent="0.2">
      <c r="E81" s="8"/>
    </row>
    <row r="82" spans="5:5" x14ac:dyDescent="0.2">
      <c r="E82" s="8"/>
    </row>
    <row r="83" spans="5:5" x14ac:dyDescent="0.2">
      <c r="E83" s="8"/>
    </row>
    <row r="84" spans="5:5" x14ac:dyDescent="0.2">
      <c r="E84" s="8"/>
    </row>
    <row r="85" spans="5:5" x14ac:dyDescent="0.2">
      <c r="E85" s="8"/>
    </row>
    <row r="86" spans="5:5" x14ac:dyDescent="0.2">
      <c r="E86" s="8"/>
    </row>
    <row r="87" spans="5:5" x14ac:dyDescent="0.2">
      <c r="E87" s="8"/>
    </row>
    <row r="88" spans="5:5" x14ac:dyDescent="0.2">
      <c r="E88" s="8"/>
    </row>
    <row r="89" spans="5:5" x14ac:dyDescent="0.2">
      <c r="E89" s="8"/>
    </row>
    <row r="90" spans="5:5" x14ac:dyDescent="0.2">
      <c r="E90" s="8"/>
    </row>
    <row r="91" spans="5:5" x14ac:dyDescent="0.2">
      <c r="E91" s="8"/>
    </row>
    <row r="92" spans="5:5" x14ac:dyDescent="0.2">
      <c r="E92" s="8"/>
    </row>
    <row r="93" spans="5:5" x14ac:dyDescent="0.2">
      <c r="E93" s="8"/>
    </row>
    <row r="94" spans="5:5" x14ac:dyDescent="0.2">
      <c r="E94" s="8"/>
    </row>
    <row r="95" spans="5:5" x14ac:dyDescent="0.2">
      <c r="E95" s="8"/>
    </row>
    <row r="96" spans="5:5" x14ac:dyDescent="0.2">
      <c r="E96" s="8"/>
    </row>
  </sheetData>
  <sortState xmlns:xlrd2="http://schemas.microsoft.com/office/spreadsheetml/2017/richdata2" ref="A1:E22">
    <sortCondition descending="1" ref="E1:E22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2D8A0-088F-D342-9F44-39A0303D0554}">
  <dimension ref="A1:AC23"/>
  <sheetViews>
    <sheetView tabSelected="1" topLeftCell="C1" zoomScale="75" workbookViewId="0">
      <selection activeCell="G21" sqref="G21"/>
    </sheetView>
  </sheetViews>
  <sheetFormatPr baseColWidth="10" defaultRowHeight="16" x14ac:dyDescent="0.2"/>
  <cols>
    <col min="1" max="1" width="22.1640625" customWidth="1"/>
    <col min="2" max="2" width="21.33203125" customWidth="1"/>
    <col min="3" max="3" width="34.33203125" customWidth="1"/>
    <col min="4" max="5" width="21.83203125" customWidth="1"/>
    <col min="6" max="6" width="30.6640625" customWidth="1"/>
    <col min="7" max="7" width="21.33203125" customWidth="1"/>
    <col min="10" max="11" width="11" bestFit="1" customWidth="1"/>
    <col min="12" max="13" width="13.33203125" bestFit="1" customWidth="1"/>
    <col min="14" max="29" width="11" bestFit="1" customWidth="1"/>
  </cols>
  <sheetData>
    <row r="1" spans="1:29" ht="17" thickBot="1" x14ac:dyDescent="0.25">
      <c r="A1" t="s">
        <v>88</v>
      </c>
      <c r="B1" t="s">
        <v>89</v>
      </c>
      <c r="C1" t="s">
        <v>90</v>
      </c>
      <c r="E1" t="s">
        <v>125</v>
      </c>
      <c r="F1" t="s">
        <v>126</v>
      </c>
      <c r="H1" s="6"/>
      <c r="I1" s="6" t="s">
        <v>91</v>
      </c>
      <c r="J1" s="6" t="s">
        <v>92</v>
      </c>
      <c r="K1" s="6" t="s">
        <v>93</v>
      </c>
      <c r="L1" s="6" t="s">
        <v>94</v>
      </c>
      <c r="M1" s="6" t="s">
        <v>95</v>
      </c>
      <c r="N1" s="6" t="s">
        <v>96</v>
      </c>
      <c r="O1" s="6" t="s">
        <v>97</v>
      </c>
      <c r="P1" s="6" t="s">
        <v>98</v>
      </c>
      <c r="Q1" s="6" t="s">
        <v>99</v>
      </c>
      <c r="R1" s="6" t="s">
        <v>100</v>
      </c>
      <c r="S1" s="6" t="s">
        <v>101</v>
      </c>
      <c r="T1" s="6" t="s">
        <v>102</v>
      </c>
      <c r="U1" s="6" t="s">
        <v>103</v>
      </c>
      <c r="V1" s="6" t="s">
        <v>104</v>
      </c>
      <c r="W1" s="6" t="s">
        <v>105</v>
      </c>
      <c r="X1" s="6" t="s">
        <v>106</v>
      </c>
      <c r="Y1" s="6" t="s">
        <v>107</v>
      </c>
      <c r="Z1" s="6" t="s">
        <v>108</v>
      </c>
      <c r="AA1" s="6" t="s">
        <v>109</v>
      </c>
      <c r="AB1" s="6" t="s">
        <v>110</v>
      </c>
      <c r="AC1" s="6" t="s">
        <v>111</v>
      </c>
    </row>
    <row r="2" spans="1:29" x14ac:dyDescent="0.2">
      <c r="A2" t="s">
        <v>71</v>
      </c>
      <c r="B2">
        <f>AVERAGE(Excess_Returns!K$2:K$62)</f>
        <v>4.984027367793447E-3</v>
      </c>
      <c r="C2">
        <f>_xlfn.STDEV.S(Excess_Returns!K2:K62)</f>
        <v>6.2855962686256123E-2</v>
      </c>
      <c r="E2">
        <f>SLOPE(Excess_Returns!$K$3:$K$63, Excess_Returns!$B$3:$B$63)</f>
        <v>0.39080197424527641</v>
      </c>
      <c r="F2">
        <v>0.1</v>
      </c>
      <c r="H2" t="s">
        <v>91</v>
      </c>
      <c r="I2" s="6"/>
      <c r="J2" s="6" t="s">
        <v>63</v>
      </c>
      <c r="K2" s="6" t="s">
        <v>64</v>
      </c>
      <c r="L2" s="6" t="s">
        <v>65</v>
      </c>
      <c r="M2" s="6" t="s">
        <v>66</v>
      </c>
      <c r="N2" s="6" t="s">
        <v>67</v>
      </c>
      <c r="O2" s="6" t="s">
        <v>68</v>
      </c>
      <c r="P2" s="6" t="s">
        <v>69</v>
      </c>
      <c r="Q2" s="6" t="s">
        <v>70</v>
      </c>
      <c r="R2" s="6" t="s">
        <v>71</v>
      </c>
      <c r="S2" s="6" t="s">
        <v>72</v>
      </c>
      <c r="T2" s="6" t="s">
        <v>73</v>
      </c>
      <c r="U2" s="6" t="s">
        <v>74</v>
      </c>
      <c r="V2" s="6" t="s">
        <v>75</v>
      </c>
      <c r="W2" s="6" t="s">
        <v>76</v>
      </c>
      <c r="X2" s="6" t="s">
        <v>77</v>
      </c>
      <c r="Y2" s="6" t="s">
        <v>78</v>
      </c>
      <c r="Z2" s="6" t="s">
        <v>79</v>
      </c>
      <c r="AA2" s="6" t="s">
        <v>80</v>
      </c>
      <c r="AB2" s="6" t="s">
        <v>81</v>
      </c>
      <c r="AC2" s="6" t="s">
        <v>82</v>
      </c>
    </row>
    <row r="3" spans="1:29" x14ac:dyDescent="0.2">
      <c r="A3" t="s">
        <v>68</v>
      </c>
      <c r="B3">
        <f>AVERAGE(Excess_Returns!H$2:H$62)</f>
        <v>2.4810110369018618E-3</v>
      </c>
      <c r="C3">
        <f>_xlfn.STDEV.S(Excess_Returns!H2:H62)</f>
        <v>5.0403688977994757E-2</v>
      </c>
      <c r="E3">
        <f>SLOPE(Excess_Returns!$H$3:$H$63, Excess_Returns!$B$3:$B$63)</f>
        <v>0.50743488831861372</v>
      </c>
      <c r="F3">
        <v>0.1</v>
      </c>
      <c r="H3" t="s">
        <v>92</v>
      </c>
      <c r="I3" t="s">
        <v>63</v>
      </c>
      <c r="J3">
        <f>VARP(Excess_Returns!$C$2:$C$62)</f>
        <v>6.9697777260178707E-3</v>
      </c>
    </row>
    <row r="4" spans="1:29" x14ac:dyDescent="0.2">
      <c r="A4" t="s">
        <v>72</v>
      </c>
      <c r="B4">
        <f>AVERAGE(Excess_Returns!L$2:L$62)</f>
        <v>1.5017195171744324E-2</v>
      </c>
      <c r="C4">
        <f>_xlfn.STDEV.S(Excess_Returns!L2:L62)</f>
        <v>7.0640958140927287E-2</v>
      </c>
      <c r="E4">
        <f>SLOPE(Excess_Returns!$L$3:$L$63, Excess_Returns!$B$3:$B$63)</f>
        <v>0.58507088258841722</v>
      </c>
      <c r="F4">
        <v>0.1</v>
      </c>
      <c r="H4" t="s">
        <v>93</v>
      </c>
      <c r="I4" t="s">
        <v>64</v>
      </c>
      <c r="J4">
        <v>3.7194057778716428E-3</v>
      </c>
      <c r="K4">
        <f>VARP(Excess_Returns!$D$2:$D$62)</f>
        <v>4.1160895327409814E-3</v>
      </c>
    </row>
    <row r="5" spans="1:29" x14ac:dyDescent="0.2">
      <c r="A5" t="s">
        <v>70</v>
      </c>
      <c r="B5">
        <f>AVERAGE(Excess_Returns!J$2:J$62)</f>
        <v>1.392524836795089E-2</v>
      </c>
      <c r="C5">
        <f>_xlfn.STDEV.S(Excess_Returns!J2:J62)</f>
        <v>5.949157984463601E-2</v>
      </c>
      <c r="E5">
        <f>SLOPE(Excess_Returns!$J$3:$J$63, Excess_Returns!$B$3:$B$63)</f>
        <v>0.59241426606666348</v>
      </c>
      <c r="F5">
        <v>0.1</v>
      </c>
      <c r="H5" t="s">
        <v>94</v>
      </c>
      <c r="I5" t="s">
        <v>65</v>
      </c>
      <c r="J5">
        <v>3.3813289833116286E-3</v>
      </c>
      <c r="K5">
        <v>3.2178532223153572E-3</v>
      </c>
      <c r="L5">
        <f>VARP(Excess_Returns!$E$2:$E$62)</f>
        <v>5.8221059432618837E-3</v>
      </c>
    </row>
    <row r="6" spans="1:29" x14ac:dyDescent="0.2">
      <c r="A6" t="s">
        <v>69</v>
      </c>
      <c r="B6">
        <f>AVERAGE(Excess_Returns!I$2:I$62)</f>
        <v>-3.6473316780250647E-3</v>
      </c>
      <c r="C6">
        <f>_xlfn.STDEV.S(Excess_Returns!I2:I62)</f>
        <v>7.9301850678517916E-2</v>
      </c>
      <c r="E6">
        <f>SLOPE(Excess_Returns!$I$3:$I$63, Excess_Returns!$B$3:$B$63)</f>
        <v>0.61151016538492076</v>
      </c>
      <c r="F6">
        <v>0.1</v>
      </c>
      <c r="H6" t="s">
        <v>95</v>
      </c>
      <c r="I6" t="s">
        <v>66</v>
      </c>
      <c r="J6">
        <v>6.2444998186506973E-3</v>
      </c>
      <c r="K6">
        <v>5.8232962164234368E-3</v>
      </c>
      <c r="L6">
        <v>6.1261088564269223E-3</v>
      </c>
      <c r="M6">
        <f>VARP(Excess_Returns!$F$2:$F$62)</f>
        <v>2.0155440758213589E-2</v>
      </c>
    </row>
    <row r="7" spans="1:29" x14ac:dyDescent="0.2">
      <c r="A7" t="s">
        <v>82</v>
      </c>
      <c r="B7">
        <f>AVERAGE(Excess_Returns!V$2:V$62)</f>
        <v>7.6791871984783809E-3</v>
      </c>
      <c r="C7">
        <f>_xlfn.STDEV.S(Excess_Returns!V2:V62)</f>
        <v>5.632397753783025E-2</v>
      </c>
      <c r="E7">
        <f>SLOPE(Excess_Returns!$V$3:$V$63, Excess_Returns!$B$3:$B$63)</f>
        <v>0.73799581886203158</v>
      </c>
      <c r="F7">
        <v>0.1</v>
      </c>
      <c r="H7" t="s">
        <v>96</v>
      </c>
      <c r="I7" t="s">
        <v>67</v>
      </c>
      <c r="J7">
        <v>3.8698756023326417E-3</v>
      </c>
      <c r="K7">
        <v>4.1197836453171618E-3</v>
      </c>
      <c r="L7">
        <v>4.0491451504731492E-3</v>
      </c>
      <c r="M7">
        <v>8.8121586317904191E-3</v>
      </c>
      <c r="N7">
        <f>VARP(Excess_Returns!$G$2:$G$62)</f>
        <v>1.3747151446481002E-2</v>
      </c>
    </row>
    <row r="8" spans="1:29" x14ac:dyDescent="0.2">
      <c r="A8" t="s">
        <v>73</v>
      </c>
      <c r="B8">
        <f>AVERAGE(Excess_Returns!M$2:M$62)</f>
        <v>1.4769299533916085E-2</v>
      </c>
      <c r="C8">
        <f>_xlfn.STDEV.S(Excess_Returns!M2:M62)</f>
        <v>9.8390261753722993E-2</v>
      </c>
      <c r="E8">
        <f>SLOPE(Excess_Returns!$M$3:$M$63, Excess_Returns!$B$3:$B$63)</f>
        <v>0.89516552219003009</v>
      </c>
      <c r="F8">
        <v>0.1</v>
      </c>
      <c r="H8" t="s">
        <v>97</v>
      </c>
      <c r="I8" t="s">
        <v>68</v>
      </c>
      <c r="J8">
        <v>1.7245379145958671E-3</v>
      </c>
      <c r="K8">
        <v>9.9439749897462675E-4</v>
      </c>
      <c r="L8">
        <v>6.4522345829965474E-4</v>
      </c>
      <c r="M8">
        <v>-6.9139278764525233E-5</v>
      </c>
      <c r="N8">
        <v>1.1203528676168239E-3</v>
      </c>
      <c r="O8">
        <f>VARP(Excess_Returns!$H$2:$H$62)</f>
        <v>2.4981896648805903E-3</v>
      </c>
    </row>
    <row r="9" spans="1:29" x14ac:dyDescent="0.2">
      <c r="A9" t="s">
        <v>64</v>
      </c>
      <c r="B9">
        <f>AVERAGE(Excess_Returns!D$2:D$62)</f>
        <v>1.8018304158151411E-2</v>
      </c>
      <c r="C9">
        <f>_xlfn.STDEV.S(Excess_Returns!D2:D62)</f>
        <v>6.4698174333666272E-2</v>
      </c>
      <c r="E9">
        <f>SLOPE(Excess_Returns!$D$3:$D$63, Excess_Returns!$B$3:$B$63)</f>
        <v>0.89998839183363377</v>
      </c>
      <c r="F9">
        <v>0.1</v>
      </c>
      <c r="H9" t="s">
        <v>98</v>
      </c>
      <c r="I9" t="s">
        <v>69</v>
      </c>
      <c r="J9">
        <v>2.2541026532697421E-3</v>
      </c>
      <c r="K9">
        <v>1.1424350557831906E-3</v>
      </c>
      <c r="L9">
        <v>1.5964456036896581E-3</v>
      </c>
      <c r="M9">
        <v>2.35463336275747E-3</v>
      </c>
      <c r="N9">
        <v>1.7445668042738438E-3</v>
      </c>
      <c r="O9">
        <v>2.1631439571890101E-3</v>
      </c>
      <c r="P9">
        <f>VARP(Excess_Returns!$I$2:$I$62)</f>
        <v>6.1839704623539854E-3</v>
      </c>
    </row>
    <row r="10" spans="1:29" x14ac:dyDescent="0.2">
      <c r="A10" t="s">
        <v>65</v>
      </c>
      <c r="B10">
        <f>AVERAGE(Excess_Returns!E$2:E$62)</f>
        <v>1.6917831679900401E-2</v>
      </c>
      <c r="C10">
        <f>_xlfn.STDEV.S(Excess_Returns!E2:E62)</f>
        <v>7.6946641934603516E-2</v>
      </c>
      <c r="E10">
        <f>SLOPE(Excess_Returns!$E$3:$E$63, Excess_Returns!$B$3:$B$63)</f>
        <v>1.0144783796140278</v>
      </c>
      <c r="F10">
        <v>0.1</v>
      </c>
      <c r="H10" t="s">
        <v>99</v>
      </c>
      <c r="I10" t="s">
        <v>70</v>
      </c>
      <c r="J10">
        <v>1.8997141159471525E-3</v>
      </c>
      <c r="K10">
        <v>1.3175471236586056E-3</v>
      </c>
      <c r="L10">
        <v>1.1841454668124339E-3</v>
      </c>
      <c r="M10">
        <v>-3.0610408515585231E-5</v>
      </c>
      <c r="N10">
        <v>3.0004694726029374E-4</v>
      </c>
      <c r="O10">
        <v>1.729299811997931E-3</v>
      </c>
      <c r="P10">
        <v>2.1592126900166083E-3</v>
      </c>
      <c r="Q10">
        <f>VARP(Excess_Returns!$J$2:$J$62)</f>
        <v>3.4802606045371896E-3</v>
      </c>
    </row>
    <row r="11" spans="1:29" x14ac:dyDescent="0.2">
      <c r="A11" t="s">
        <v>80</v>
      </c>
      <c r="B11">
        <f>AVERAGE(Excess_Returns!T$2:T$62)</f>
        <v>-3.6677157361377573E-4</v>
      </c>
      <c r="C11">
        <f>_xlfn.STDEV.S(Excess_Returns!T2:T62)</f>
        <v>9.0408619376139046E-2</v>
      </c>
      <c r="E11">
        <f>SLOPE(Excess_Returns!$T$3:$T$63, Excess_Returns!$B$3:$B$63)</f>
        <v>1.0284395935364212</v>
      </c>
      <c r="F11">
        <v>0.1</v>
      </c>
      <c r="H11" t="s">
        <v>100</v>
      </c>
      <c r="I11" t="s">
        <v>71</v>
      </c>
      <c r="J11">
        <v>7.0726300218440562E-4</v>
      </c>
      <c r="K11">
        <v>1.0346507428820376E-3</v>
      </c>
      <c r="L11">
        <v>-4.9557672440762639E-5</v>
      </c>
      <c r="M11">
        <v>3.6658041021060743E-4</v>
      </c>
      <c r="N11">
        <v>4.8474088272350377E-4</v>
      </c>
      <c r="O11">
        <v>1.5239673593192777E-3</v>
      </c>
      <c r="P11">
        <v>6.372981142962334E-4</v>
      </c>
      <c r="Q11">
        <v>1.2798047846459761E-3</v>
      </c>
      <c r="R11">
        <f>VARP(Excess_Returns!$K$2:$K$62)</f>
        <v>3.8850241777957546E-3</v>
      </c>
    </row>
    <row r="12" spans="1:29" x14ac:dyDescent="0.2">
      <c r="F12">
        <f>SUM(F2:F11)</f>
        <v>0.99999999999999989</v>
      </c>
      <c r="H12" t="s">
        <v>101</v>
      </c>
      <c r="I12" t="s">
        <v>72</v>
      </c>
      <c r="J12">
        <v>1.1015352374847975E-3</v>
      </c>
      <c r="K12">
        <v>9.7883976050538242E-4</v>
      </c>
      <c r="L12">
        <v>1.4019305543162164E-3</v>
      </c>
      <c r="M12">
        <v>1.7630673342389832E-3</v>
      </c>
      <c r="N12">
        <v>1.2952312222542061E-3</v>
      </c>
      <c r="O12">
        <v>1.6371797346724155E-3</v>
      </c>
      <c r="P12">
        <v>2.0136954696775749E-3</v>
      </c>
      <c r="Q12">
        <v>1.7736848500158691E-3</v>
      </c>
      <c r="R12">
        <v>1.0326643904994385E-3</v>
      </c>
      <c r="S12">
        <f>VARP(Excess_Returns!$L$2:$L$62)</f>
        <v>4.9069758842837704E-3</v>
      </c>
    </row>
    <row r="13" spans="1:29" x14ac:dyDescent="0.2">
      <c r="H13" t="s">
        <v>102</v>
      </c>
      <c r="I13" t="s">
        <v>73</v>
      </c>
      <c r="J13">
        <v>1.5895421772042779E-3</v>
      </c>
      <c r="K13">
        <v>7.8345538264260842E-4</v>
      </c>
      <c r="L13">
        <v>1.8234878285642308E-3</v>
      </c>
      <c r="M13">
        <v>5.0477484290723482E-5</v>
      </c>
      <c r="N13">
        <v>-3.4699592227773119E-4</v>
      </c>
      <c r="O13">
        <v>1.6998276318337543E-3</v>
      </c>
      <c r="P13">
        <v>8.869961092380403E-4</v>
      </c>
      <c r="Q13">
        <v>1.777316389636285E-3</v>
      </c>
      <c r="R13">
        <v>2.3465010526847459E-3</v>
      </c>
      <c r="S13">
        <v>2.3050913798347127E-3</v>
      </c>
      <c r="T13">
        <f>VARP(Excess_Returns!$M$2:$M$62)</f>
        <v>9.5192995478333552E-3</v>
      </c>
    </row>
    <row r="14" spans="1:29" x14ac:dyDescent="0.2">
      <c r="H14" t="s">
        <v>103</v>
      </c>
      <c r="I14" t="s">
        <v>74</v>
      </c>
      <c r="J14">
        <v>2.2817584871805074E-3</v>
      </c>
      <c r="K14">
        <v>1.3386718668713146E-3</v>
      </c>
      <c r="L14">
        <v>2.5990836639466128E-3</v>
      </c>
      <c r="M14">
        <v>1.6779212654375994E-3</v>
      </c>
      <c r="N14">
        <v>1.0704136807067974E-4</v>
      </c>
      <c r="O14">
        <v>1.9125076970810083E-3</v>
      </c>
      <c r="P14">
        <v>2.064302429946954E-3</v>
      </c>
      <c r="Q14">
        <v>2.5676884152458159E-3</v>
      </c>
      <c r="R14">
        <v>2.0787389042100347E-3</v>
      </c>
      <c r="S14">
        <v>3.1610191693671403E-3</v>
      </c>
      <c r="T14">
        <v>8.3403794682183844E-3</v>
      </c>
      <c r="U14">
        <f>VARP(Excess_Returns!$N$2:$N$62)</f>
        <v>9.2390026971166262E-3</v>
      </c>
    </row>
    <row r="15" spans="1:29" x14ac:dyDescent="0.2">
      <c r="H15" t="s">
        <v>104</v>
      </c>
      <c r="I15" t="s">
        <v>75</v>
      </c>
      <c r="J15">
        <v>1.9686423699606707E-3</v>
      </c>
      <c r="K15">
        <v>1.1054120703049668E-3</v>
      </c>
      <c r="L15">
        <v>3.0030494032125903E-3</v>
      </c>
      <c r="M15">
        <v>7.195233510777062E-4</v>
      </c>
      <c r="N15">
        <v>3.0031167250730521E-4</v>
      </c>
      <c r="O15">
        <v>2.0054430938774809E-3</v>
      </c>
      <c r="P15">
        <v>1.2416954366351674E-3</v>
      </c>
      <c r="Q15">
        <v>2.3036944790906693E-3</v>
      </c>
      <c r="R15">
        <v>2.2485539911301024E-3</v>
      </c>
      <c r="S15">
        <v>3.1730180265928578E-3</v>
      </c>
      <c r="T15">
        <v>1.0808983732534359E-2</v>
      </c>
      <c r="U15">
        <v>1.0484757307174462E-2</v>
      </c>
      <c r="V15">
        <f>VARP(Excess_Returns!$O$2:$O$62)</f>
        <v>1.611896212484654E-2</v>
      </c>
    </row>
    <row r="16" spans="1:29" x14ac:dyDescent="0.2">
      <c r="H16" t="s">
        <v>105</v>
      </c>
      <c r="I16" t="s">
        <v>76</v>
      </c>
      <c r="J16">
        <v>3.0878864473866943E-3</v>
      </c>
      <c r="K16">
        <v>1.0708297976726791E-3</v>
      </c>
      <c r="L16">
        <v>2.873441035265462E-3</v>
      </c>
      <c r="M16">
        <v>1.4733749769591112E-3</v>
      </c>
      <c r="N16">
        <v>4.4371059523364503E-4</v>
      </c>
      <c r="O16">
        <v>2.6999412918357916E-3</v>
      </c>
      <c r="P16">
        <v>1.8131000492010742E-3</v>
      </c>
      <c r="Q16">
        <v>2.9199860331491573E-3</v>
      </c>
      <c r="R16">
        <v>3.1808940140421386E-3</v>
      </c>
      <c r="S16">
        <v>4.5610846150961389E-3</v>
      </c>
      <c r="T16">
        <v>1.2277625318322834E-2</v>
      </c>
      <c r="U16">
        <v>1.1769019897327981E-2</v>
      </c>
      <c r="V16">
        <v>1.6206611656076647E-2</v>
      </c>
      <c r="W16">
        <f>VARP(Excess_Returns!$P$2:$P$62)</f>
        <v>2.0946980380547219E-2</v>
      </c>
    </row>
    <row r="17" spans="6:29" x14ac:dyDescent="0.2">
      <c r="H17" t="s">
        <v>106</v>
      </c>
      <c r="I17" t="s">
        <v>77</v>
      </c>
      <c r="J17">
        <v>3.5709804091679691E-3</v>
      </c>
      <c r="K17">
        <v>2.8449495278273281E-3</v>
      </c>
      <c r="L17">
        <v>4.1979530279988332E-3</v>
      </c>
      <c r="M17">
        <v>6.9013062545498149E-4</v>
      </c>
      <c r="N17">
        <v>5.062029653737862E-4</v>
      </c>
      <c r="O17">
        <v>2.1793602812125242E-3</v>
      </c>
      <c r="P17">
        <v>7.0975968889610164E-4</v>
      </c>
      <c r="Q17">
        <v>2.5109185427305927E-3</v>
      </c>
      <c r="R17">
        <v>2.333911068394875E-3</v>
      </c>
      <c r="S17">
        <v>5.2509655635608072E-3</v>
      </c>
      <c r="T17">
        <v>1.4619648935874446E-2</v>
      </c>
      <c r="U17">
        <v>1.4199754555830052E-2</v>
      </c>
      <c r="V17">
        <v>2.0319565112004809E-2</v>
      </c>
      <c r="W17">
        <v>2.0714530406868024E-2</v>
      </c>
      <c r="X17">
        <f>VARP(Excess_Returns!$Q$2:$Q$62)</f>
        <v>3.6025561332911966E-2</v>
      </c>
    </row>
    <row r="18" spans="6:29" x14ac:dyDescent="0.2">
      <c r="F18" t="s">
        <v>131</v>
      </c>
      <c r="G18">
        <f>SUMPRODUCT($F$2:$F$11,$B$2:$B$11)</f>
        <v>8.977800126319796E-3</v>
      </c>
      <c r="H18" t="s">
        <v>107</v>
      </c>
      <c r="I18" t="s">
        <v>78</v>
      </c>
      <c r="J18">
        <v>5.3703929171360805E-3</v>
      </c>
      <c r="K18">
        <v>4.0586643196025502E-3</v>
      </c>
      <c r="L18">
        <v>4.3867220778879609E-3</v>
      </c>
      <c r="M18">
        <v>8.2121472535378708E-3</v>
      </c>
      <c r="N18">
        <v>5.1394480430527927E-3</v>
      </c>
      <c r="O18">
        <v>4.2191940756749954E-4</v>
      </c>
      <c r="P18">
        <v>9.3171841581208713E-4</v>
      </c>
      <c r="Q18">
        <v>9.2346312588098751E-4</v>
      </c>
      <c r="R18">
        <v>-4.6141350464523471E-4</v>
      </c>
      <c r="S18">
        <v>-2.7187455008283352E-4</v>
      </c>
      <c r="T18">
        <v>5.3520676947749776E-4</v>
      </c>
      <c r="U18">
        <v>1.593211232792664E-3</v>
      </c>
      <c r="V18">
        <v>1.4526452776318379E-3</v>
      </c>
      <c r="W18">
        <v>6.0189728804290908E-4</v>
      </c>
      <c r="X18">
        <v>3.3787444632218857E-3</v>
      </c>
      <c r="Y18">
        <f>VARP(Excess_Returns!$R$2:$R$62)</f>
        <v>8.8053594532072534E-3</v>
      </c>
    </row>
    <row r="19" spans="6:29" x14ac:dyDescent="0.2">
      <c r="H19" t="s">
        <v>108</v>
      </c>
      <c r="I19" t="s">
        <v>79</v>
      </c>
      <c r="J19">
        <v>1.2905494511375929E-2</v>
      </c>
      <c r="K19">
        <v>7.4405975479535135E-3</v>
      </c>
      <c r="L19">
        <v>7.4541619627783891E-3</v>
      </c>
      <c r="M19">
        <v>1.2625555958595974E-2</v>
      </c>
      <c r="N19">
        <v>7.9526771865113931E-3</v>
      </c>
      <c r="O19">
        <v>2.4884432323623818E-3</v>
      </c>
      <c r="P19">
        <v>1.5679518374295852E-3</v>
      </c>
      <c r="Q19">
        <v>3.2163931332405099E-3</v>
      </c>
      <c r="R19">
        <v>3.7145314729790553E-6</v>
      </c>
      <c r="S19">
        <v>6.7743019770519111E-4</v>
      </c>
      <c r="T19">
        <v>1.7326320784981271E-3</v>
      </c>
      <c r="U19">
        <v>4.7279576137686579E-3</v>
      </c>
      <c r="V19">
        <v>4.5434688945646525E-3</v>
      </c>
      <c r="W19">
        <v>5.4075858170473034E-3</v>
      </c>
      <c r="X19">
        <v>1.1006070067713388E-2</v>
      </c>
      <c r="Y19">
        <v>1.3364870160482508E-2</v>
      </c>
      <c r="Z19">
        <f>VARP(Excess_Returns!$S$2:$S$62)</f>
        <v>4.8896403719153492E-2</v>
      </c>
    </row>
    <row r="20" spans="6:29" x14ac:dyDescent="0.2">
      <c r="F20" s="8" t="s">
        <v>132</v>
      </c>
      <c r="G20">
        <f>SUMPRODUCT(
 F2:F11,
 MMULT(Stats!$L$3:$U$12, F2:F11)
)</f>
        <v>2.2574224002293339E-3</v>
      </c>
      <c r="H20" t="s">
        <v>109</v>
      </c>
      <c r="I20" t="s">
        <v>80</v>
      </c>
      <c r="J20">
        <v>3.5239311747048969E-3</v>
      </c>
      <c r="K20">
        <v>2.837948168122606E-3</v>
      </c>
      <c r="L20">
        <v>1.805662724637241E-3</v>
      </c>
      <c r="M20">
        <v>4.5840338222562513E-3</v>
      </c>
      <c r="N20">
        <v>3.3722648926290803E-3</v>
      </c>
      <c r="O20">
        <v>1.5082438100598821E-3</v>
      </c>
      <c r="P20">
        <v>1.6271883825911394E-3</v>
      </c>
      <c r="Q20">
        <v>1.9704223486816715E-3</v>
      </c>
      <c r="R20">
        <v>1.8582511381249377E-3</v>
      </c>
      <c r="S20">
        <v>1.409509227146766E-3</v>
      </c>
      <c r="T20">
        <v>1.9859982314292335E-3</v>
      </c>
      <c r="U20">
        <v>2.5722937623079267E-3</v>
      </c>
      <c r="V20">
        <v>2.4743840396160293E-3</v>
      </c>
      <c r="W20">
        <v>3.6675173436593001E-3</v>
      </c>
      <c r="X20">
        <v>2.1438750341750291E-3</v>
      </c>
      <c r="Y20">
        <v>1.91170769404652E-3</v>
      </c>
      <c r="Z20">
        <v>5.3536185158167071E-3</v>
      </c>
      <c r="AA20">
        <f>VARP(Excess_Returns!$T$2:$T$62)</f>
        <v>8.03748981654126E-3</v>
      </c>
    </row>
    <row r="21" spans="6:29" x14ac:dyDescent="0.2">
      <c r="F21" s="8" t="s">
        <v>133</v>
      </c>
      <c r="G21" s="9">
        <f>SQRT(G20)</f>
        <v>4.7512339452286854E-2</v>
      </c>
      <c r="H21" t="s">
        <v>110</v>
      </c>
      <c r="I21" t="s">
        <v>81</v>
      </c>
      <c r="J21">
        <v>3.0667104291000739E-3</v>
      </c>
      <c r="K21">
        <v>2.3240787715402178E-3</v>
      </c>
      <c r="L21">
        <v>2.0595648990559628E-3</v>
      </c>
      <c r="M21">
        <v>3.7893177135672213E-3</v>
      </c>
      <c r="N21">
        <v>3.9643700466565589E-3</v>
      </c>
      <c r="O21">
        <v>1.6694422441901424E-3</v>
      </c>
      <c r="P21">
        <v>2.6188974535346168E-3</v>
      </c>
      <c r="Q21">
        <v>1.8708888774968942E-3</v>
      </c>
      <c r="R21">
        <v>1.2209554438331364E-3</v>
      </c>
      <c r="S21">
        <v>1.3826250080006314E-3</v>
      </c>
      <c r="T21">
        <v>1.6928303503543915E-3</v>
      </c>
      <c r="U21">
        <v>2.6112730150872681E-3</v>
      </c>
      <c r="V21">
        <v>2.3353141247052568E-3</v>
      </c>
      <c r="W21">
        <v>3.3394981043823714E-3</v>
      </c>
      <c r="X21">
        <v>1.7881335226004492E-3</v>
      </c>
      <c r="Y21">
        <v>2.7341997356755804E-3</v>
      </c>
      <c r="Z21">
        <v>6.7290465268334525E-3</v>
      </c>
      <c r="AA21">
        <v>3.2641912187137494E-3</v>
      </c>
      <c r="AB21">
        <f>VARP(Excess_Returns!$U$2:$U$62)</f>
        <v>5.2959179405318918E-3</v>
      </c>
    </row>
    <row r="22" spans="6:29" ht="17" thickBot="1" x14ac:dyDescent="0.25">
      <c r="H22" s="5" t="s">
        <v>111</v>
      </c>
      <c r="I22" s="5" t="s">
        <v>82</v>
      </c>
      <c r="J22" s="5">
        <v>2.7064755080911385E-3</v>
      </c>
      <c r="K22" s="5">
        <v>1.4638066694113762E-3</v>
      </c>
      <c r="L22" s="5">
        <v>1.425517203530731E-3</v>
      </c>
      <c r="M22" s="5">
        <v>1.1746561814604606E-3</v>
      </c>
      <c r="N22" s="5">
        <v>1.6076410407851243E-3</v>
      </c>
      <c r="O22" s="5">
        <v>1.6267806037239608E-3</v>
      </c>
      <c r="P22" s="5">
        <v>1.6398923239964273E-3</v>
      </c>
      <c r="Q22" s="5">
        <v>1.580877840317957E-3</v>
      </c>
      <c r="R22" s="5">
        <v>1.3088464960233006E-3</v>
      </c>
      <c r="S22" s="5">
        <v>9.1783572255329799E-4</v>
      </c>
      <c r="T22" s="5">
        <v>2.0567124853856943E-3</v>
      </c>
      <c r="U22" s="5">
        <v>2.3521939961699207E-3</v>
      </c>
      <c r="V22" s="5">
        <v>2.528763951943023E-3</v>
      </c>
      <c r="W22" s="5">
        <v>3.1701517291885086E-3</v>
      </c>
      <c r="X22" s="5">
        <v>2.6022260157242479E-3</v>
      </c>
      <c r="Y22" s="5">
        <v>1.3673102615894754E-3</v>
      </c>
      <c r="Z22" s="5">
        <v>4.4869869870846129E-3</v>
      </c>
      <c r="AA22" s="5">
        <v>2.7450015746464515E-3</v>
      </c>
      <c r="AB22" s="5">
        <v>2.7044661235259945E-3</v>
      </c>
      <c r="AC22" s="5">
        <f>VARP(Excess_Returns!$V$2:$V$62)</f>
        <v>3.1195172715873065E-3</v>
      </c>
    </row>
    <row r="23" spans="6:29" x14ac:dyDescent="0.2">
      <c r="F23" s="9" t="s">
        <v>121</v>
      </c>
      <c r="G23">
        <f>G18/G21</f>
        <v>0.18895723152793897</v>
      </c>
    </row>
  </sheetData>
  <sortState xmlns:xlrd2="http://schemas.microsoft.com/office/spreadsheetml/2017/richdata2" ref="A2:E22">
    <sortCondition ref="E2:E22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9801B-BDD3-5246-A07A-5FAEE8517E53}">
  <dimension ref="A1:AF40"/>
  <sheetViews>
    <sheetView zoomScale="67" zoomScaleNormal="65" workbookViewId="0">
      <selection activeCell="F30" sqref="F30"/>
    </sheetView>
  </sheetViews>
  <sheetFormatPr baseColWidth="10" defaultRowHeight="16" x14ac:dyDescent="0.2"/>
  <cols>
    <col min="1" max="1" width="22.1640625" customWidth="1"/>
    <col min="2" max="2" width="21.5" customWidth="1"/>
    <col min="3" max="3" width="34" customWidth="1"/>
    <col min="4" max="4" width="23.83203125" customWidth="1"/>
    <col min="5" max="5" width="21.6640625" customWidth="1"/>
    <col min="6" max="6" width="21.83203125" customWidth="1"/>
    <col min="7" max="7" width="21.6640625" customWidth="1"/>
    <col min="8" max="8" width="18.1640625" customWidth="1"/>
    <col min="9" max="12" width="21.6640625" customWidth="1"/>
    <col min="13" max="13" width="20.6640625" customWidth="1"/>
    <col min="14" max="14" width="21.1640625" customWidth="1"/>
    <col min="15" max="15" width="24.33203125" customWidth="1"/>
    <col min="16" max="16" width="23.83203125" customWidth="1"/>
    <col min="17" max="17" width="23.6640625" customWidth="1"/>
    <col min="18" max="18" width="19.33203125" customWidth="1"/>
    <col min="19" max="19" width="22" customWidth="1"/>
    <col min="20" max="20" width="22.6640625" customWidth="1"/>
    <col min="21" max="21" width="21.5" customWidth="1"/>
    <col min="22" max="22" width="22.1640625" customWidth="1"/>
    <col min="23" max="23" width="21.33203125" customWidth="1"/>
    <col min="24" max="25" width="22" customWidth="1"/>
    <col min="26" max="26" width="21.6640625" customWidth="1"/>
    <col min="27" max="27" width="21.33203125" customWidth="1"/>
    <col min="28" max="28" width="19.5" customWidth="1"/>
    <col min="29" max="29" width="18.83203125" customWidth="1"/>
    <col min="30" max="31" width="21.5" customWidth="1"/>
    <col min="32" max="32" width="21.6640625" customWidth="1"/>
    <col min="33" max="33" width="21.5" customWidth="1"/>
    <col min="34" max="34" width="21.6640625" customWidth="1"/>
    <col min="37" max="37" width="21.5" customWidth="1"/>
    <col min="38" max="38" width="22" customWidth="1"/>
    <col min="39" max="39" width="21.6640625" customWidth="1"/>
  </cols>
  <sheetData>
    <row r="1" spans="1:32" x14ac:dyDescent="0.2">
      <c r="A1" t="s">
        <v>88</v>
      </c>
      <c r="B1" t="s">
        <v>112</v>
      </c>
      <c r="R1" s="10"/>
      <c r="AB1" t="e">
        <f>SUM(#REF!,)</f>
        <v>#REF!</v>
      </c>
    </row>
    <row r="2" spans="1:32" x14ac:dyDescent="0.2">
      <c r="A2" t="s">
        <v>63</v>
      </c>
      <c r="B2">
        <f>Stats!B3</f>
        <v>2.3225347217397125E-2</v>
      </c>
      <c r="C2" s="11"/>
      <c r="R2" s="10"/>
    </row>
    <row r="3" spans="1:32" x14ac:dyDescent="0.2">
      <c r="A3" t="s">
        <v>64</v>
      </c>
      <c r="B3">
        <f>Stats!B4</f>
        <v>1.8018304158151411E-2</v>
      </c>
      <c r="C3" s="11"/>
      <c r="R3" s="10"/>
    </row>
    <row r="4" spans="1:32" x14ac:dyDescent="0.2">
      <c r="A4" t="s">
        <v>65</v>
      </c>
      <c r="B4">
        <f>Stats!B5</f>
        <v>1.6917831679900401E-2</v>
      </c>
      <c r="C4" s="11"/>
      <c r="R4" s="10"/>
    </row>
    <row r="5" spans="1:32" x14ac:dyDescent="0.2">
      <c r="A5" t="s">
        <v>66</v>
      </c>
      <c r="B5">
        <f>Stats!B6</f>
        <v>6.3391182852659739E-2</v>
      </c>
      <c r="C5" s="11"/>
    </row>
    <row r="6" spans="1:32" x14ac:dyDescent="0.2">
      <c r="A6" t="s">
        <v>67</v>
      </c>
      <c r="B6">
        <f>Stats!B7</f>
        <v>2.2760690581831267E-2</v>
      </c>
      <c r="C6" s="11"/>
    </row>
    <row r="7" spans="1:32" x14ac:dyDescent="0.2">
      <c r="A7" t="s">
        <v>68</v>
      </c>
      <c r="B7">
        <f>Stats!B8</f>
        <v>2.4810110369018618E-3</v>
      </c>
      <c r="C7" s="11"/>
    </row>
    <row r="8" spans="1:32" x14ac:dyDescent="0.2">
      <c r="A8" t="s">
        <v>69</v>
      </c>
      <c r="B8">
        <f>Stats!B9</f>
        <v>-3.6473316780250647E-3</v>
      </c>
      <c r="C8" s="11"/>
    </row>
    <row r="9" spans="1:32" x14ac:dyDescent="0.2">
      <c r="A9" t="s">
        <v>70</v>
      </c>
      <c r="B9">
        <f>Stats!B10</f>
        <v>1.392524836795089E-2</v>
      </c>
      <c r="C9" s="11"/>
    </row>
    <row r="10" spans="1:32" x14ac:dyDescent="0.2">
      <c r="A10" t="s">
        <v>71</v>
      </c>
      <c r="B10">
        <f>Stats!B11</f>
        <v>4.984027367793447E-3</v>
      </c>
      <c r="C10" s="11"/>
      <c r="E10" t="s">
        <v>135</v>
      </c>
      <c r="F10" t="s">
        <v>136</v>
      </c>
      <c r="G10" t="s">
        <v>118</v>
      </c>
      <c r="H10" t="s">
        <v>163</v>
      </c>
      <c r="I10" t="s">
        <v>137</v>
      </c>
      <c r="J10" t="s">
        <v>138</v>
      </c>
      <c r="K10" t="s">
        <v>121</v>
      </c>
      <c r="L10" t="s">
        <v>139</v>
      </c>
      <c r="M10" t="s">
        <v>140</v>
      </c>
      <c r="N10" t="s">
        <v>158</v>
      </c>
      <c r="O10" t="s">
        <v>141</v>
      </c>
      <c r="P10" t="s">
        <v>142</v>
      </c>
      <c r="Q10" t="s">
        <v>143</v>
      </c>
      <c r="R10" t="s">
        <v>144</v>
      </c>
      <c r="S10" t="s">
        <v>145</v>
      </c>
      <c r="T10" t="s">
        <v>146</v>
      </c>
      <c r="U10" t="s">
        <v>147</v>
      </c>
      <c r="V10" t="s">
        <v>148</v>
      </c>
      <c r="W10" t="s">
        <v>149</v>
      </c>
      <c r="X10" t="s">
        <v>150</v>
      </c>
      <c r="Y10" t="s">
        <v>151</v>
      </c>
      <c r="Z10" t="s">
        <v>152</v>
      </c>
      <c r="AA10" t="s">
        <v>153</v>
      </c>
      <c r="AB10" t="s">
        <v>154</v>
      </c>
      <c r="AC10" t="s">
        <v>155</v>
      </c>
      <c r="AD10" t="s">
        <v>156</v>
      </c>
      <c r="AE10" t="s">
        <v>157</v>
      </c>
      <c r="AF10" t="s">
        <v>159</v>
      </c>
    </row>
    <row r="11" spans="1:32" x14ac:dyDescent="0.2">
      <c r="A11" t="s">
        <v>72</v>
      </c>
      <c r="B11">
        <f>Stats!B12</f>
        <v>1.5017195171744324E-2</v>
      </c>
      <c r="C11" s="11"/>
      <c r="E11">
        <v>1</v>
      </c>
      <c r="F11">
        <v>2E-3</v>
      </c>
      <c r="G11">
        <v>2E-3</v>
      </c>
      <c r="H11" s="14">
        <f>F11-G11</f>
        <v>0</v>
      </c>
      <c r="I11">
        <v>1.9277805637810687E-3</v>
      </c>
      <c r="J11">
        <v>4.3906497967625122E-2</v>
      </c>
      <c r="K11">
        <f t="shared" ref="K11:K30" si="0">F11/J11</f>
        <v>4.5551344164927919E-2</v>
      </c>
      <c r="L11" s="12">
        <v>0</v>
      </c>
      <c r="M11" s="12">
        <v>0</v>
      </c>
      <c r="N11" s="12">
        <v>6.7400000000000003E-3</v>
      </c>
      <c r="O11" s="12">
        <v>0</v>
      </c>
      <c r="P11" s="12">
        <v>0</v>
      </c>
      <c r="Q11" s="12">
        <v>0.42199999999999999</v>
      </c>
      <c r="R11" s="12">
        <v>0.17399999999999999</v>
      </c>
      <c r="S11" s="12">
        <v>0</v>
      </c>
      <c r="T11" s="12">
        <v>0.23699999999999999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7.5700000000000003E-2</v>
      </c>
      <c r="AB11" s="12">
        <v>0</v>
      </c>
      <c r="AC11" s="12">
        <v>7.3499999999999996E-2</v>
      </c>
      <c r="AD11" s="12">
        <v>0</v>
      </c>
      <c r="AE11" s="12">
        <v>1.0699999999999999E-2</v>
      </c>
      <c r="AF11" s="12">
        <f>SUM(L11:AE11)</f>
        <v>0.99964000000000008</v>
      </c>
    </row>
    <row r="12" spans="1:32" x14ac:dyDescent="0.2">
      <c r="A12" t="s">
        <v>73</v>
      </c>
      <c r="B12">
        <f>Stats!B13</f>
        <v>1.4769299533916085E-2</v>
      </c>
      <c r="C12" s="11"/>
      <c r="E12">
        <v>2</v>
      </c>
      <c r="F12">
        <v>2.9999999549988636E-3</v>
      </c>
      <c r="G12">
        <v>3.0000000000000001E-3</v>
      </c>
      <c r="H12" s="14">
        <f t="shared" ref="H12:H30" si="1">F12-G12</f>
        <v>-4.5001136497746508E-11</v>
      </c>
      <c r="I12">
        <v>1.9381873317424986E-3</v>
      </c>
      <c r="J12">
        <v>4.4024849025777461E-2</v>
      </c>
      <c r="K12">
        <f t="shared" si="0"/>
        <v>6.8143333171734474E-2</v>
      </c>
      <c r="L12" s="13">
        <v>0</v>
      </c>
      <c r="M12" s="13">
        <v>9.1666134581813035E-4</v>
      </c>
      <c r="N12" s="13">
        <v>4.682045302870768E-2</v>
      </c>
      <c r="O12" s="13">
        <v>0</v>
      </c>
      <c r="P12" s="13">
        <v>2.5635015815894901E-4</v>
      </c>
      <c r="Q12" s="13">
        <v>0.4360226271204734</v>
      </c>
      <c r="R12" s="13">
        <v>0.1701149605243874</v>
      </c>
      <c r="S12" s="13">
        <v>0</v>
      </c>
      <c r="T12" s="13">
        <v>0.22991537163450465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3.7063249923802666E-2</v>
      </c>
      <c r="AB12" s="13">
        <v>0</v>
      </c>
      <c r="AC12" s="13">
        <v>7.850449495387829E-2</v>
      </c>
      <c r="AD12" s="13">
        <v>0</v>
      </c>
      <c r="AE12" s="13">
        <v>3.8585820668235856E-4</v>
      </c>
      <c r="AF12" s="12">
        <f t="shared" ref="AF12:AF30" si="2">SUM(L12:AE12)</f>
        <v>1.0000000268964135</v>
      </c>
    </row>
    <row r="13" spans="1:32" x14ac:dyDescent="0.2">
      <c r="A13" t="s">
        <v>74</v>
      </c>
      <c r="B13">
        <f>Stats!B14</f>
        <v>1.0201657664542013E-2</v>
      </c>
      <c r="C13" s="11"/>
      <c r="E13">
        <v>3</v>
      </c>
      <c r="F13">
        <v>4.0000022667366335E-3</v>
      </c>
      <c r="G13">
        <v>4.0000000000000001E-3</v>
      </c>
      <c r="H13" s="14">
        <f t="shared" si="1"/>
        <v>2.2667366334633288E-9</v>
      </c>
      <c r="I13">
        <v>1.8185792197189235E-3</v>
      </c>
      <c r="J13">
        <v>4.2644802962599364E-2</v>
      </c>
      <c r="K13">
        <f t="shared" si="0"/>
        <v>9.3798118149232459E-2</v>
      </c>
      <c r="L13" s="13">
        <v>0</v>
      </c>
      <c r="M13" s="13">
        <v>0</v>
      </c>
      <c r="N13" s="13">
        <v>4.0298181323325799E-2</v>
      </c>
      <c r="O13" s="13">
        <v>0</v>
      </c>
      <c r="P13" s="13">
        <v>0</v>
      </c>
      <c r="Q13" s="13">
        <v>0.40176304938872415</v>
      </c>
      <c r="R13" s="13">
        <v>0.14214891934277823</v>
      </c>
      <c r="S13" s="13">
        <v>0</v>
      </c>
      <c r="T13" s="13">
        <v>0.24427613816732599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8.0370543750837548E-2</v>
      </c>
      <c r="AB13" s="13">
        <v>0</v>
      </c>
      <c r="AC13" s="13">
        <v>4.816858554115519E-2</v>
      </c>
      <c r="AD13" s="13">
        <v>0</v>
      </c>
      <c r="AE13" s="13">
        <v>4.2974604611474697E-2</v>
      </c>
      <c r="AF13" s="12">
        <f t="shared" si="2"/>
        <v>1.0000000221256216</v>
      </c>
    </row>
    <row r="14" spans="1:32" x14ac:dyDescent="0.2">
      <c r="A14" t="s">
        <v>75</v>
      </c>
      <c r="B14">
        <f>Stats!B15</f>
        <v>1.7545654462175035E-2</v>
      </c>
      <c r="C14" s="11"/>
      <c r="E14">
        <v>4</v>
      </c>
      <c r="F14">
        <v>5.0000000299519863E-3</v>
      </c>
      <c r="G14">
        <v>5.0000000000000001E-3</v>
      </c>
      <c r="H14" s="14">
        <f t="shared" si="1"/>
        <v>2.995198620375783E-11</v>
      </c>
      <c r="I14">
        <v>1.7407258226851327E-3</v>
      </c>
      <c r="J14">
        <v>4.1722006455647991E-2</v>
      </c>
      <c r="K14">
        <f t="shared" si="0"/>
        <v>0.1198408335243217</v>
      </c>
      <c r="L14">
        <v>0</v>
      </c>
      <c r="M14">
        <v>0</v>
      </c>
      <c r="N14">
        <v>7.3655366218884299E-2</v>
      </c>
      <c r="O14">
        <v>0</v>
      </c>
      <c r="P14">
        <v>0</v>
      </c>
      <c r="Q14">
        <v>0.38112570212879676</v>
      </c>
      <c r="R14">
        <v>0.11054826750079789</v>
      </c>
      <c r="S14">
        <v>0</v>
      </c>
      <c r="T14">
        <v>0.2514006946498773</v>
      </c>
      <c r="U14">
        <v>2.537246397218916E-4</v>
      </c>
      <c r="V14">
        <v>0</v>
      </c>
      <c r="W14">
        <v>0</v>
      </c>
      <c r="X14">
        <v>0</v>
      </c>
      <c r="Y14">
        <v>0</v>
      </c>
      <c r="Z14">
        <v>0</v>
      </c>
      <c r="AA14">
        <v>8.5041069210756132E-2</v>
      </c>
      <c r="AB14">
        <v>0</v>
      </c>
      <c r="AC14">
        <v>2.285238372273686E-2</v>
      </c>
      <c r="AD14">
        <v>0</v>
      </c>
      <c r="AE14">
        <v>7.5122791793168081E-2</v>
      </c>
      <c r="AF14" s="12">
        <f t="shared" si="2"/>
        <v>0.9999999998647392</v>
      </c>
    </row>
    <row r="15" spans="1:32" x14ac:dyDescent="0.2">
      <c r="A15" t="s">
        <v>76</v>
      </c>
      <c r="B15">
        <f>Stats!B16</f>
        <v>1.3419479440416651E-2</v>
      </c>
      <c r="C15" s="11"/>
      <c r="E15">
        <v>5</v>
      </c>
      <c r="F15">
        <v>5.9999999973867684E-3</v>
      </c>
      <c r="G15">
        <v>6.0000000000000001E-3</v>
      </c>
      <c r="H15" s="14">
        <f t="shared" si="1"/>
        <v>-2.6132316796600996E-12</v>
      </c>
      <c r="I15">
        <v>1.6927110162176177E-3</v>
      </c>
      <c r="J15">
        <v>4.1142569392511423E-2</v>
      </c>
      <c r="K15">
        <f t="shared" si="0"/>
        <v>0.14583435322536906</v>
      </c>
      <c r="L15">
        <v>0</v>
      </c>
      <c r="M15">
        <v>0</v>
      </c>
      <c r="N15">
        <v>9.8745555273974564E-2</v>
      </c>
      <c r="O15">
        <v>0</v>
      </c>
      <c r="P15">
        <v>0</v>
      </c>
      <c r="Q15">
        <v>0.35564914348338639</v>
      </c>
      <c r="R15">
        <v>8.2588277498504142E-2</v>
      </c>
      <c r="S15">
        <v>2.0576571416369555E-2</v>
      </c>
      <c r="T15">
        <v>0.25443607658748102</v>
      </c>
      <c r="U15">
        <v>2.7072414264852181E-4</v>
      </c>
      <c r="V15">
        <v>0</v>
      </c>
      <c r="W15">
        <v>0</v>
      </c>
      <c r="X15">
        <v>0</v>
      </c>
      <c r="Y15">
        <v>0</v>
      </c>
      <c r="Z15">
        <v>0</v>
      </c>
      <c r="AA15">
        <v>8.7891293041980026E-2</v>
      </c>
      <c r="AB15">
        <v>0</v>
      </c>
      <c r="AC15">
        <v>1.2217057592116775E-3</v>
      </c>
      <c r="AD15">
        <v>0</v>
      </c>
      <c r="AE15">
        <v>9.8620653234066644E-2</v>
      </c>
      <c r="AF15" s="12">
        <f t="shared" si="2"/>
        <v>1.0000000004376226</v>
      </c>
    </row>
    <row r="16" spans="1:32" x14ac:dyDescent="0.2">
      <c r="A16" t="s">
        <v>77</v>
      </c>
      <c r="B16">
        <f>Stats!B17</f>
        <v>2.2271314265605694E-2</v>
      </c>
      <c r="C16" s="11"/>
      <c r="E16">
        <v>6</v>
      </c>
      <c r="F16">
        <v>7.0000038268792902E-3</v>
      </c>
      <c r="G16">
        <v>7.0000000000000001E-3</v>
      </c>
      <c r="H16" s="14">
        <f t="shared" si="1"/>
        <v>3.826879290021179E-9</v>
      </c>
      <c r="I16">
        <v>1.6340023340583021E-3</v>
      </c>
      <c r="J16">
        <v>4.0422794733396432E-2</v>
      </c>
      <c r="K16">
        <f t="shared" si="0"/>
        <v>0.17316971458918054</v>
      </c>
      <c r="L16">
        <v>0</v>
      </c>
      <c r="M16">
        <v>0</v>
      </c>
      <c r="N16">
        <v>7.08708234232579E-2</v>
      </c>
      <c r="O16">
        <v>0</v>
      </c>
      <c r="P16">
        <v>0</v>
      </c>
      <c r="Q16">
        <v>0.29586506852717015</v>
      </c>
      <c r="R16">
        <v>6.8089032326909271E-2</v>
      </c>
      <c r="S16">
        <v>9.8365985875697882E-3</v>
      </c>
      <c r="T16">
        <v>0.24544466587405608</v>
      </c>
      <c r="U16">
        <v>8.9767794710361337E-2</v>
      </c>
      <c r="V16">
        <v>0</v>
      </c>
      <c r="W16">
        <v>0</v>
      </c>
      <c r="X16">
        <v>0</v>
      </c>
      <c r="Y16">
        <v>0</v>
      </c>
      <c r="Z16">
        <v>0</v>
      </c>
      <c r="AA16">
        <v>0.106312775298346</v>
      </c>
      <c r="AB16">
        <v>0</v>
      </c>
      <c r="AC16">
        <v>0</v>
      </c>
      <c r="AD16">
        <v>0</v>
      </c>
      <c r="AE16">
        <v>0.11381322877999878</v>
      </c>
      <c r="AF16" s="12">
        <f t="shared" si="2"/>
        <v>0.99999998752766939</v>
      </c>
    </row>
    <row r="17" spans="1:32" x14ac:dyDescent="0.2">
      <c r="A17" t="s">
        <v>78</v>
      </c>
      <c r="B17">
        <f>Stats!B18</f>
        <v>1.6300847675336873E-2</v>
      </c>
      <c r="C17" s="11"/>
      <c r="E17">
        <v>7</v>
      </c>
      <c r="F17">
        <v>8.0000028465190814E-3</v>
      </c>
      <c r="G17">
        <v>8.0000000000000002E-3</v>
      </c>
      <c r="H17" s="14">
        <f t="shared" si="1"/>
        <v>2.8465190812093644E-9</v>
      </c>
      <c r="I17">
        <v>1.6118703264750432E-3</v>
      </c>
      <c r="J17">
        <v>4.0148104892697531E-2</v>
      </c>
      <c r="K17">
        <f t="shared" si="0"/>
        <v>0.19926227820467282</v>
      </c>
      <c r="L17">
        <v>0</v>
      </c>
      <c r="M17">
        <v>0</v>
      </c>
      <c r="N17">
        <v>7.7813388029936828E-2</v>
      </c>
      <c r="O17">
        <v>0</v>
      </c>
      <c r="P17">
        <v>0</v>
      </c>
      <c r="Q17">
        <v>0.25670309778489214</v>
      </c>
      <c r="R17">
        <v>4.1730044795831547E-2</v>
      </c>
      <c r="S17">
        <v>4.4600166861938254E-2</v>
      </c>
      <c r="T17">
        <v>0.23821375818622345</v>
      </c>
      <c r="U17">
        <v>0.11119058522213487</v>
      </c>
      <c r="V17">
        <v>0</v>
      </c>
      <c r="W17">
        <v>0</v>
      </c>
      <c r="X17">
        <v>0</v>
      </c>
      <c r="Y17">
        <v>0</v>
      </c>
      <c r="Z17">
        <v>0</v>
      </c>
      <c r="AA17">
        <v>0.11094161174323855</v>
      </c>
      <c r="AB17">
        <v>0</v>
      </c>
      <c r="AC17">
        <v>0</v>
      </c>
      <c r="AD17">
        <v>0</v>
      </c>
      <c r="AE17">
        <v>0.1188073415700639</v>
      </c>
      <c r="AF17" s="12">
        <f t="shared" si="2"/>
        <v>0.99999999419425956</v>
      </c>
    </row>
    <row r="18" spans="1:32" x14ac:dyDescent="0.2">
      <c r="A18" t="s">
        <v>79</v>
      </c>
      <c r="B18">
        <f>Stats!B19</f>
        <v>6.6524748763093389E-2</v>
      </c>
      <c r="C18" s="11"/>
      <c r="E18">
        <v>8</v>
      </c>
      <c r="F18">
        <v>8.9999999999999993E-3</v>
      </c>
      <c r="G18">
        <v>8.9999999999999993E-3</v>
      </c>
      <c r="H18" s="14">
        <f t="shared" si="1"/>
        <v>0</v>
      </c>
      <c r="I18">
        <v>1.6077964346435502E-3</v>
      </c>
      <c r="J18">
        <v>4.0097337001895154E-2</v>
      </c>
      <c r="K18">
        <f t="shared" si="0"/>
        <v>0.22445380848046403</v>
      </c>
      <c r="L18">
        <v>0</v>
      </c>
      <c r="M18">
        <v>0</v>
      </c>
      <c r="N18">
        <v>8.4755890989970065E-2</v>
      </c>
      <c r="O18">
        <v>0</v>
      </c>
      <c r="P18">
        <v>0</v>
      </c>
      <c r="Q18">
        <v>0.21754054667609013</v>
      </c>
      <c r="R18">
        <v>1.537142393249142E-2</v>
      </c>
      <c r="S18">
        <v>7.9363868307473218E-2</v>
      </c>
      <c r="T18">
        <v>0.23098297513566474</v>
      </c>
      <c r="U18">
        <v>0.13261330716896969</v>
      </c>
      <c r="V18">
        <v>0</v>
      </c>
      <c r="W18">
        <v>0</v>
      </c>
      <c r="X18">
        <v>0</v>
      </c>
      <c r="Y18">
        <v>0</v>
      </c>
      <c r="Z18">
        <v>0</v>
      </c>
      <c r="AA18">
        <v>0.11557043140005881</v>
      </c>
      <c r="AB18">
        <v>0</v>
      </c>
      <c r="AC18">
        <v>0</v>
      </c>
      <c r="AD18">
        <v>0</v>
      </c>
      <c r="AE18">
        <v>0.12380155794017639</v>
      </c>
      <c r="AF18" s="12">
        <f t="shared" si="2"/>
        <v>1.0000000015508945</v>
      </c>
    </row>
    <row r="19" spans="1:32" x14ac:dyDescent="0.2">
      <c r="A19" t="s">
        <v>80</v>
      </c>
      <c r="B19">
        <f>Stats!B20</f>
        <v>-3.6677157361377573E-4</v>
      </c>
      <c r="C19" s="11"/>
      <c r="E19">
        <v>9</v>
      </c>
      <c r="F19">
        <v>0.01</v>
      </c>
      <c r="G19">
        <v>0.01</v>
      </c>
      <c r="H19" s="14">
        <f t="shared" si="1"/>
        <v>0</v>
      </c>
      <c r="I19">
        <v>1.6211439111774183E-3</v>
      </c>
      <c r="J19">
        <v>4.0263431438184928E-2</v>
      </c>
      <c r="K19">
        <f t="shared" si="0"/>
        <v>0.24836432571209582</v>
      </c>
      <c r="L19">
        <v>0</v>
      </c>
      <c r="M19">
        <v>7.468459470734168E-3</v>
      </c>
      <c r="N19">
        <v>8.5158015226876452E-2</v>
      </c>
      <c r="O19">
        <v>5.2474153684172239E-3</v>
      </c>
      <c r="P19">
        <v>0</v>
      </c>
      <c r="Q19">
        <v>0.184764020524772</v>
      </c>
      <c r="R19">
        <v>0</v>
      </c>
      <c r="S19">
        <v>0.10868918017077657</v>
      </c>
      <c r="T19">
        <v>0.22255011523739773</v>
      </c>
      <c r="U19">
        <v>0.14616779166400312</v>
      </c>
      <c r="V19">
        <v>0</v>
      </c>
      <c r="W19">
        <v>0</v>
      </c>
      <c r="X19">
        <v>0</v>
      </c>
      <c r="Y19">
        <v>0</v>
      </c>
      <c r="Z19">
        <v>0</v>
      </c>
      <c r="AA19">
        <v>0.11288907540320463</v>
      </c>
      <c r="AB19">
        <v>0</v>
      </c>
      <c r="AC19">
        <v>0</v>
      </c>
      <c r="AD19">
        <v>0</v>
      </c>
      <c r="AE19">
        <v>0.12706592817511994</v>
      </c>
      <c r="AF19" s="12">
        <f t="shared" si="2"/>
        <v>1.0000000012413017</v>
      </c>
    </row>
    <row r="20" spans="1:32" x14ac:dyDescent="0.2">
      <c r="A20" t="s">
        <v>81</v>
      </c>
      <c r="B20">
        <f>Stats!B21</f>
        <v>1.300707307597276E-2</v>
      </c>
      <c r="C20" s="11"/>
      <c r="E20">
        <v>10</v>
      </c>
      <c r="F20">
        <v>1.0999999999999999E-2</v>
      </c>
      <c r="G20">
        <v>1.0999999999999999E-2</v>
      </c>
      <c r="H20" s="14">
        <f t="shared" si="1"/>
        <v>0</v>
      </c>
      <c r="I20">
        <v>1.6444547675686927E-3</v>
      </c>
      <c r="J20">
        <v>4.0551877485126293E-2</v>
      </c>
      <c r="K20">
        <f t="shared" si="0"/>
        <v>0.27125747763552016</v>
      </c>
      <c r="L20">
        <v>0</v>
      </c>
      <c r="M20">
        <v>1.0873033575985729E-2</v>
      </c>
      <c r="N20">
        <v>7.7993041102815172E-2</v>
      </c>
      <c r="O20">
        <v>2.1466693683288823E-2</v>
      </c>
      <c r="P20">
        <v>0</v>
      </c>
      <c r="Q20">
        <v>0.16959494050907642</v>
      </c>
      <c r="R20">
        <v>0</v>
      </c>
      <c r="S20">
        <v>0.12992962829049745</v>
      </c>
      <c r="T20">
        <v>0.21487737605710447</v>
      </c>
      <c r="U20">
        <v>0.14546804164330804</v>
      </c>
      <c r="V20">
        <v>0</v>
      </c>
      <c r="W20">
        <v>0</v>
      </c>
      <c r="X20">
        <v>0</v>
      </c>
      <c r="Y20">
        <v>0</v>
      </c>
      <c r="Z20">
        <v>0</v>
      </c>
      <c r="AA20">
        <v>0.10132760292728617</v>
      </c>
      <c r="AB20">
        <v>0</v>
      </c>
      <c r="AC20">
        <v>0</v>
      </c>
      <c r="AD20">
        <v>0</v>
      </c>
      <c r="AE20">
        <v>0.12846963981395382</v>
      </c>
      <c r="AF20" s="12">
        <f t="shared" si="2"/>
        <v>0.99999999760331604</v>
      </c>
    </row>
    <row r="21" spans="1:32" x14ac:dyDescent="0.2">
      <c r="A21" t="s">
        <v>82</v>
      </c>
      <c r="B21">
        <f>Stats!B22</f>
        <v>7.6791871984783809E-3</v>
      </c>
      <c r="C21" s="11"/>
      <c r="E21">
        <v>11</v>
      </c>
      <c r="F21">
        <v>1.2000001792933548E-2</v>
      </c>
      <c r="G21">
        <v>1.2E-2</v>
      </c>
      <c r="H21" s="14">
        <f t="shared" si="1"/>
        <v>1.7929335481559061E-9</v>
      </c>
      <c r="I21">
        <v>1.6752483263258241E-3</v>
      </c>
      <c r="J21">
        <v>4.0929797535851846E-2</v>
      </c>
      <c r="K21">
        <f t="shared" si="0"/>
        <v>0.29318497806939614</v>
      </c>
      <c r="L21">
        <v>0</v>
      </c>
      <c r="M21">
        <v>1.1152506244615617E-2</v>
      </c>
      <c r="N21">
        <v>7.1107833127129635E-2</v>
      </c>
      <c r="O21">
        <v>3.8162102074476983E-2</v>
      </c>
      <c r="P21">
        <v>0</v>
      </c>
      <c r="Q21">
        <v>0.15517655973913733</v>
      </c>
      <c r="R21">
        <v>0</v>
      </c>
      <c r="S21">
        <v>0.15158269836792249</v>
      </c>
      <c r="T21">
        <v>0.20778660162668403</v>
      </c>
      <c r="U21">
        <v>0.14462420919867611</v>
      </c>
      <c r="V21">
        <v>0</v>
      </c>
      <c r="W21">
        <v>0</v>
      </c>
      <c r="X21">
        <v>0</v>
      </c>
      <c r="Y21">
        <v>0</v>
      </c>
      <c r="Z21">
        <v>0</v>
      </c>
      <c r="AA21">
        <v>9.0595711603877138E-2</v>
      </c>
      <c r="AB21">
        <v>0</v>
      </c>
      <c r="AC21">
        <v>0</v>
      </c>
      <c r="AD21">
        <v>0</v>
      </c>
      <c r="AE21">
        <v>0.12981177751226597</v>
      </c>
      <c r="AF21" s="12">
        <f t="shared" si="2"/>
        <v>0.99999999949478524</v>
      </c>
    </row>
    <row r="22" spans="1:32" x14ac:dyDescent="0.2">
      <c r="A22" t="s">
        <v>114</v>
      </c>
      <c r="C22" s="7"/>
      <c r="E22">
        <v>12</v>
      </c>
      <c r="F22">
        <v>1.3000009445841858E-2</v>
      </c>
      <c r="G22">
        <v>1.2999999999999999E-2</v>
      </c>
      <c r="H22" s="14">
        <f t="shared" si="1"/>
        <v>9.4458418586906845E-9</v>
      </c>
      <c r="I22">
        <v>1.7135306003384072E-3</v>
      </c>
      <c r="J22">
        <v>4.139481368889595E-2</v>
      </c>
      <c r="K22">
        <f t="shared" si="0"/>
        <v>0.31404923195315831</v>
      </c>
      <c r="L22">
        <v>0</v>
      </c>
      <c r="M22">
        <v>1.1091480890890125E-2</v>
      </c>
      <c r="N22">
        <v>6.5391187369704284E-2</v>
      </c>
      <c r="O22">
        <v>5.4932443346682749E-2</v>
      </c>
      <c r="P22">
        <v>0</v>
      </c>
      <c r="Q22">
        <v>0.14060026073352722</v>
      </c>
      <c r="R22">
        <v>0</v>
      </c>
      <c r="S22">
        <v>0.17259772758713512</v>
      </c>
      <c r="T22">
        <v>0.20070432249720357</v>
      </c>
      <c r="U22">
        <v>0.14360736192700982</v>
      </c>
      <c r="V22">
        <v>0</v>
      </c>
      <c r="W22">
        <v>0</v>
      </c>
      <c r="X22">
        <v>0</v>
      </c>
      <c r="Y22">
        <v>0</v>
      </c>
      <c r="Z22">
        <v>0</v>
      </c>
      <c r="AA22">
        <v>7.9053376235277972E-2</v>
      </c>
      <c r="AB22">
        <v>0</v>
      </c>
      <c r="AC22">
        <v>0</v>
      </c>
      <c r="AD22">
        <v>0</v>
      </c>
      <c r="AE22">
        <v>0.13202183978115459</v>
      </c>
      <c r="AF22" s="12">
        <f t="shared" si="2"/>
        <v>1.0000000003685856</v>
      </c>
    </row>
    <row r="23" spans="1:32" x14ac:dyDescent="0.2">
      <c r="E23">
        <v>13</v>
      </c>
      <c r="F23">
        <v>1.4000010786207426E-2</v>
      </c>
      <c r="G23">
        <v>1.4E-2</v>
      </c>
      <c r="H23" s="14">
        <f t="shared" si="1"/>
        <v>1.0786207425492189E-8</v>
      </c>
      <c r="I23">
        <v>1.7593109999999999E-3</v>
      </c>
      <c r="J23">
        <v>4.1944141686207657E-2</v>
      </c>
      <c r="K23">
        <f t="shared" si="0"/>
        <v>0.33377750082345825</v>
      </c>
      <c r="L23">
        <v>0</v>
      </c>
      <c r="M23">
        <v>1.0975046664886254E-2</v>
      </c>
      <c r="N23">
        <v>5.9851216296572286E-2</v>
      </c>
      <c r="O23">
        <v>7.1359221358719152E-2</v>
      </c>
      <c r="P23">
        <v>0</v>
      </c>
      <c r="Q23">
        <v>0.1249732011309134</v>
      </c>
      <c r="R23">
        <v>0</v>
      </c>
      <c r="S23">
        <v>0.19515337984401582</v>
      </c>
      <c r="T23">
        <v>0.19494240456788917</v>
      </c>
      <c r="U23">
        <v>0.14219610540784144</v>
      </c>
      <c r="V23">
        <v>2.241685479552373E-4</v>
      </c>
      <c r="W23">
        <v>0</v>
      </c>
      <c r="X23">
        <v>0</v>
      </c>
      <c r="Y23">
        <v>0</v>
      </c>
      <c r="Z23">
        <v>0</v>
      </c>
      <c r="AA23">
        <v>6.8421936620790547E-2</v>
      </c>
      <c r="AB23">
        <v>0</v>
      </c>
      <c r="AC23">
        <v>0</v>
      </c>
      <c r="AD23">
        <v>0</v>
      </c>
      <c r="AE23">
        <v>0.13190332219257048</v>
      </c>
      <c r="AF23" s="12">
        <f t="shared" si="2"/>
        <v>1.0000000026321538</v>
      </c>
    </row>
    <row r="24" spans="1:32" x14ac:dyDescent="0.2">
      <c r="E24">
        <v>14</v>
      </c>
      <c r="F24">
        <v>1.4999999999999999E-2</v>
      </c>
      <c r="G24">
        <v>1.4999999999999999E-2</v>
      </c>
      <c r="H24" s="14">
        <f t="shared" si="1"/>
        <v>0</v>
      </c>
      <c r="I24">
        <v>1.8125461860342515E-3</v>
      </c>
      <c r="J24">
        <v>4.2574008338823952E-2</v>
      </c>
      <c r="K24">
        <f t="shared" si="0"/>
        <v>0.35232764273974287</v>
      </c>
      <c r="L24">
        <v>0</v>
      </c>
      <c r="M24">
        <v>1.0777947850605457E-2</v>
      </c>
      <c r="N24">
        <v>5.3525956051122967E-2</v>
      </c>
      <c r="O24">
        <v>8.830253783593385E-2</v>
      </c>
      <c r="P24">
        <v>0</v>
      </c>
      <c r="Q24">
        <v>0.11169972726850295</v>
      </c>
      <c r="R24">
        <v>0</v>
      </c>
      <c r="S24">
        <v>0.21604683095657903</v>
      </c>
      <c r="T24">
        <v>0.18684308131438157</v>
      </c>
      <c r="U24">
        <v>0.14145482471570542</v>
      </c>
      <c r="V24">
        <v>2.243635935391754E-4</v>
      </c>
      <c r="W24">
        <v>0</v>
      </c>
      <c r="X24">
        <v>0</v>
      </c>
      <c r="Y24">
        <v>0</v>
      </c>
      <c r="Z24">
        <v>0</v>
      </c>
      <c r="AA24">
        <v>5.6896029834071042E-2</v>
      </c>
      <c r="AB24">
        <v>0</v>
      </c>
      <c r="AC24">
        <v>0</v>
      </c>
      <c r="AD24">
        <v>0</v>
      </c>
      <c r="AE24">
        <v>0.13422869840388818</v>
      </c>
      <c r="AF24" s="12">
        <f t="shared" si="2"/>
        <v>0.99999999782432969</v>
      </c>
    </row>
    <row r="25" spans="1:32" x14ac:dyDescent="0.2">
      <c r="E25">
        <v>15</v>
      </c>
      <c r="F25">
        <v>1.6E-2</v>
      </c>
      <c r="G25">
        <v>1.6E-2</v>
      </c>
      <c r="H25" s="14">
        <f t="shared" si="1"/>
        <v>0</v>
      </c>
      <c r="I25">
        <v>1.8732739523297467E-3</v>
      </c>
      <c r="J25">
        <v>4.3281334918527488E-2</v>
      </c>
      <c r="K25">
        <f t="shared" si="0"/>
        <v>0.36967436494549671</v>
      </c>
      <c r="L25">
        <v>0</v>
      </c>
      <c r="M25">
        <v>1.0479782953158719E-2</v>
      </c>
      <c r="N25">
        <v>4.6916157873779035E-2</v>
      </c>
      <c r="O25">
        <v>0.10515209682234954</v>
      </c>
      <c r="P25">
        <v>0</v>
      </c>
      <c r="Q25">
        <v>9.8006750959650141E-2</v>
      </c>
      <c r="R25">
        <v>0</v>
      </c>
      <c r="S25">
        <v>0.23785099242065122</v>
      </c>
      <c r="T25">
        <v>0.17943207950689444</v>
      </c>
      <c r="U25">
        <v>0.14003130960782736</v>
      </c>
      <c r="V25">
        <v>2.2485405598288968E-4</v>
      </c>
      <c r="W25">
        <v>0</v>
      </c>
      <c r="X25">
        <v>0</v>
      </c>
      <c r="Y25">
        <v>0</v>
      </c>
      <c r="Z25">
        <v>0</v>
      </c>
      <c r="AA25">
        <v>4.6286187770962717E-2</v>
      </c>
      <c r="AB25">
        <v>0</v>
      </c>
      <c r="AC25">
        <v>0</v>
      </c>
      <c r="AD25">
        <v>0</v>
      </c>
      <c r="AE25">
        <v>0.13561978989575285</v>
      </c>
      <c r="AF25" s="12">
        <f t="shared" si="2"/>
        <v>1.000000001867009</v>
      </c>
    </row>
    <row r="26" spans="1:32" x14ac:dyDescent="0.2">
      <c r="E26">
        <v>16</v>
      </c>
      <c r="F26">
        <v>1.7000000000000001E-2</v>
      </c>
      <c r="G26">
        <v>1.7000000000000001E-2</v>
      </c>
      <c r="H26" s="14">
        <f t="shared" si="1"/>
        <v>0</v>
      </c>
      <c r="I26">
        <v>1.9414895025255342E-3</v>
      </c>
      <c r="J26">
        <v>4.4062336553178094E-2</v>
      </c>
      <c r="K26">
        <f t="shared" si="0"/>
        <v>0.38581703399870743</v>
      </c>
      <c r="L26">
        <v>0</v>
      </c>
      <c r="M26">
        <v>1.0116192349029012E-2</v>
      </c>
      <c r="N26">
        <v>4.0161252602074253E-2</v>
      </c>
      <c r="O26">
        <v>0.12180625980440893</v>
      </c>
      <c r="P26">
        <v>0</v>
      </c>
      <c r="Q26">
        <v>8.2920118483304231E-2</v>
      </c>
      <c r="R26">
        <v>0</v>
      </c>
      <c r="S26">
        <v>0.25954454948035471</v>
      </c>
      <c r="T26">
        <v>0.17278198137203643</v>
      </c>
      <c r="U26">
        <v>0.13968183728650554</v>
      </c>
      <c r="V26">
        <v>2.2553938318037192E-4</v>
      </c>
      <c r="W26">
        <v>0</v>
      </c>
      <c r="X26">
        <v>0</v>
      </c>
      <c r="Y26">
        <v>0</v>
      </c>
      <c r="Z26">
        <v>0</v>
      </c>
      <c r="AA26">
        <v>3.5736361925364481E-2</v>
      </c>
      <c r="AB26">
        <v>0</v>
      </c>
      <c r="AC26">
        <v>0</v>
      </c>
      <c r="AD26">
        <v>0</v>
      </c>
      <c r="AE26">
        <v>0.13702590727765571</v>
      </c>
      <c r="AF26" s="12">
        <f t="shared" si="2"/>
        <v>0.99999999996391353</v>
      </c>
    </row>
    <row r="27" spans="1:32" x14ac:dyDescent="0.2">
      <c r="E27">
        <v>17</v>
      </c>
      <c r="F27">
        <v>1.7999999999999999E-2</v>
      </c>
      <c r="G27">
        <v>1.7999999999999999E-2</v>
      </c>
      <c r="H27" s="14">
        <f t="shared" si="1"/>
        <v>0</v>
      </c>
      <c r="I27">
        <v>2.0169690167260801E-3</v>
      </c>
      <c r="J27">
        <v>4.4910678203808951E-2</v>
      </c>
      <c r="K27">
        <f t="shared" si="0"/>
        <v>0.40079555063306499</v>
      </c>
      <c r="L27">
        <v>0</v>
      </c>
      <c r="M27">
        <v>0</v>
      </c>
      <c r="N27">
        <v>3.5376918063542172E-2</v>
      </c>
      <c r="O27">
        <v>0.13987000673350841</v>
      </c>
      <c r="P27">
        <v>0</v>
      </c>
      <c r="Q27">
        <v>7.0024751103938701E-2</v>
      </c>
      <c r="R27">
        <v>0</v>
      </c>
      <c r="S27">
        <v>0.28219977856600076</v>
      </c>
      <c r="T27">
        <v>0.16762450577348278</v>
      </c>
      <c r="U27">
        <v>0.13860601367731223</v>
      </c>
      <c r="V27">
        <v>2.8507247443460752E-4</v>
      </c>
      <c r="W27">
        <v>0</v>
      </c>
      <c r="X27">
        <v>0</v>
      </c>
      <c r="Y27">
        <v>0</v>
      </c>
      <c r="Z27">
        <v>0</v>
      </c>
      <c r="AA27">
        <v>2.732378057279582E-2</v>
      </c>
      <c r="AB27">
        <v>0</v>
      </c>
      <c r="AC27">
        <v>0</v>
      </c>
      <c r="AD27">
        <v>0</v>
      </c>
      <c r="AE27">
        <v>0.13868917351096055</v>
      </c>
      <c r="AF27" s="12">
        <f t="shared" si="2"/>
        <v>1.0000000004759761</v>
      </c>
    </row>
    <row r="28" spans="1:32" x14ac:dyDescent="0.2">
      <c r="E28">
        <v>18</v>
      </c>
      <c r="F28">
        <v>1.9E-2</v>
      </c>
      <c r="G28">
        <v>1.9E-2</v>
      </c>
      <c r="H28" s="14">
        <f t="shared" si="1"/>
        <v>0</v>
      </c>
      <c r="I28">
        <v>2.100139236199991E-3</v>
      </c>
      <c r="J28">
        <v>4.5827276115867843E-2</v>
      </c>
      <c r="K28">
        <f t="shared" si="0"/>
        <v>0.41460024706598669</v>
      </c>
      <c r="L28">
        <v>0</v>
      </c>
      <c r="M28">
        <v>0</v>
      </c>
      <c r="N28">
        <v>2.8715161646580556E-2</v>
      </c>
      <c r="O28">
        <v>0.15669766852143063</v>
      </c>
      <c r="P28">
        <v>0</v>
      </c>
      <c r="Q28">
        <v>5.628610191572779E-2</v>
      </c>
      <c r="R28">
        <v>0</v>
      </c>
      <c r="S28">
        <v>0.30384153985623547</v>
      </c>
      <c r="T28">
        <v>0.16035623681196209</v>
      </c>
      <c r="U28">
        <v>0.13751052356709939</v>
      </c>
      <c r="V28">
        <v>2.9556528649459592E-4</v>
      </c>
      <c r="W28">
        <v>0</v>
      </c>
      <c r="X28">
        <v>0</v>
      </c>
      <c r="Y28">
        <v>0</v>
      </c>
      <c r="Z28">
        <v>0</v>
      </c>
      <c r="AA28">
        <v>1.6401798979848035E-2</v>
      </c>
      <c r="AB28">
        <v>0</v>
      </c>
      <c r="AC28">
        <v>0</v>
      </c>
      <c r="AD28">
        <v>0</v>
      </c>
      <c r="AE28">
        <v>0.13989540477605461</v>
      </c>
      <c r="AF28" s="12">
        <f t="shared" si="2"/>
        <v>1.0000000013614332</v>
      </c>
    </row>
    <row r="29" spans="1:32" x14ac:dyDescent="0.2">
      <c r="E29">
        <v>19</v>
      </c>
      <c r="F29">
        <v>0.02</v>
      </c>
      <c r="G29">
        <v>0.02</v>
      </c>
      <c r="H29" s="14">
        <f t="shared" si="1"/>
        <v>0</v>
      </c>
      <c r="I29">
        <v>2.1814364965267205E-3</v>
      </c>
      <c r="J29">
        <v>4.6705850774038153E-2</v>
      </c>
      <c r="K29">
        <f t="shared" si="0"/>
        <v>0.42821187642549424</v>
      </c>
      <c r="L29">
        <v>0</v>
      </c>
      <c r="M29">
        <v>3.0896347504845135E-3</v>
      </c>
      <c r="N29">
        <v>1.5253609492067881E-2</v>
      </c>
      <c r="O29">
        <v>0.17131404020685526</v>
      </c>
      <c r="P29">
        <v>0</v>
      </c>
      <c r="Q29">
        <v>4.9407668141170126E-2</v>
      </c>
      <c r="R29">
        <v>0</v>
      </c>
      <c r="S29">
        <v>0.31708223373273647</v>
      </c>
      <c r="T29">
        <v>0.14260792089192909</v>
      </c>
      <c r="U29">
        <v>0.12956505598304674</v>
      </c>
      <c r="V29">
        <v>2.9012026833870583E-2</v>
      </c>
      <c r="W29">
        <v>0</v>
      </c>
      <c r="X29">
        <v>0</v>
      </c>
      <c r="Y29">
        <v>0</v>
      </c>
      <c r="Z29">
        <v>0</v>
      </c>
      <c r="AA29">
        <v>8.5385948845667341E-3</v>
      </c>
      <c r="AB29">
        <v>5.8287932411783068E-4</v>
      </c>
      <c r="AC29">
        <v>0</v>
      </c>
      <c r="AD29">
        <v>0</v>
      </c>
      <c r="AE29">
        <v>0.13354633921095777</v>
      </c>
      <c r="AF29" s="12">
        <f t="shared" si="2"/>
        <v>1.0000000034518031</v>
      </c>
    </row>
    <row r="30" spans="1:32" x14ac:dyDescent="0.2">
      <c r="E30">
        <v>20</v>
      </c>
      <c r="F30">
        <v>2.1000000000000001E-2</v>
      </c>
      <c r="G30">
        <v>2.1000000000000001E-2</v>
      </c>
      <c r="H30" s="14">
        <f t="shared" si="1"/>
        <v>0</v>
      </c>
      <c r="I30">
        <v>2.2762623008839322E-3</v>
      </c>
      <c r="J30">
        <v>4.7710190744577122E-2</v>
      </c>
      <c r="K30">
        <f t="shared" si="0"/>
        <v>0.44015753599532448</v>
      </c>
      <c r="L30">
        <v>0</v>
      </c>
      <c r="M30">
        <v>3.0201439540294781E-3</v>
      </c>
      <c r="N30">
        <v>1.2233252306229408E-2</v>
      </c>
      <c r="O30">
        <v>0.18483584280194237</v>
      </c>
      <c r="P30">
        <v>3.5499446789916914E-4</v>
      </c>
      <c r="Q30">
        <v>3.4325094730498676E-2</v>
      </c>
      <c r="R30">
        <v>0</v>
      </c>
      <c r="S30">
        <v>0.33702052245868497</v>
      </c>
      <c r="T30">
        <v>0.1337579860723653</v>
      </c>
      <c r="U30">
        <v>0.12194360656782588</v>
      </c>
      <c r="V30">
        <v>4.4884207480823446E-2</v>
      </c>
      <c r="W30">
        <v>0</v>
      </c>
      <c r="X30">
        <v>0</v>
      </c>
      <c r="Y30">
        <v>0</v>
      </c>
      <c r="Z30">
        <v>0</v>
      </c>
      <c r="AA30">
        <v>6.9129187168227727E-3</v>
      </c>
      <c r="AB30">
        <v>5.92384046222856E-4</v>
      </c>
      <c r="AC30">
        <v>0</v>
      </c>
      <c r="AD30">
        <v>0</v>
      </c>
      <c r="AE30">
        <v>0.12011904955280517</v>
      </c>
      <c r="AF30" s="12">
        <f t="shared" si="2"/>
        <v>1.0000000031561496</v>
      </c>
    </row>
    <row r="39" spans="3:3" x14ac:dyDescent="0.2">
      <c r="C39" t="s">
        <v>160</v>
      </c>
    </row>
    <row r="40" spans="3:3" x14ac:dyDescent="0.2">
      <c r="C40" t="s">
        <v>161</v>
      </c>
    </row>
  </sheetData>
  <phoneticPr fontId="7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BC647-6DC8-2C48-A0F4-ED4ACBC057E1}">
  <dimension ref="A1:AG47"/>
  <sheetViews>
    <sheetView zoomScale="50" zoomScaleNormal="66" workbookViewId="0">
      <selection activeCell="M62" sqref="M62"/>
    </sheetView>
  </sheetViews>
  <sheetFormatPr baseColWidth="10" defaultRowHeight="16" x14ac:dyDescent="0.2"/>
  <cols>
    <col min="1" max="1" width="22.1640625" customWidth="1"/>
    <col min="2" max="3" width="21.5" customWidth="1"/>
    <col min="4" max="4" width="23.83203125" customWidth="1"/>
    <col min="5" max="8" width="21.6640625" customWidth="1"/>
    <col min="9" max="9" width="21.5" customWidth="1"/>
    <col min="10" max="10" width="24" customWidth="1"/>
    <col min="11" max="11" width="22.33203125" customWidth="1"/>
    <col min="12" max="12" width="21.5" customWidth="1"/>
    <col min="13" max="13" width="21.83203125" customWidth="1"/>
    <col min="14" max="14" width="20" customWidth="1"/>
    <col min="15" max="16" width="22" customWidth="1"/>
    <col min="17" max="17" width="21.33203125" customWidth="1"/>
    <col min="18" max="18" width="25" customWidth="1"/>
    <col min="19" max="19" width="21.5" customWidth="1"/>
    <col min="20" max="20" width="21.33203125" customWidth="1"/>
    <col min="21" max="21" width="22.83203125" customWidth="1"/>
    <col min="22" max="22" width="25.83203125" customWidth="1"/>
    <col min="23" max="23" width="23.33203125" customWidth="1"/>
    <col min="24" max="24" width="21.1640625" customWidth="1"/>
    <col min="25" max="25" width="19.6640625" customWidth="1"/>
    <col min="26" max="26" width="19" customWidth="1"/>
    <col min="27" max="27" width="20" customWidth="1"/>
    <col min="28" max="28" width="21.33203125" customWidth="1"/>
    <col min="29" max="29" width="20.5" customWidth="1"/>
    <col min="30" max="31" width="19.5" customWidth="1"/>
    <col min="32" max="32" width="20.5" customWidth="1"/>
    <col min="33" max="37" width="12.1640625" customWidth="1"/>
  </cols>
  <sheetData>
    <row r="1" spans="1:13" x14ac:dyDescent="0.2">
      <c r="A1" t="s">
        <v>88</v>
      </c>
      <c r="B1" t="s">
        <v>112</v>
      </c>
      <c r="C1" t="s">
        <v>113</v>
      </c>
      <c r="E1" t="s">
        <v>118</v>
      </c>
      <c r="F1" t="s">
        <v>118</v>
      </c>
      <c r="G1" t="s">
        <v>119</v>
      </c>
      <c r="H1" t="s">
        <v>120</v>
      </c>
      <c r="I1" t="s">
        <v>121</v>
      </c>
      <c r="K1" t="s">
        <v>122</v>
      </c>
      <c r="L1" t="s">
        <v>123</v>
      </c>
      <c r="M1" t="s">
        <v>124</v>
      </c>
    </row>
    <row r="2" spans="1:13" x14ac:dyDescent="0.2">
      <c r="A2" t="s">
        <v>63</v>
      </c>
      <c r="B2">
        <f>Stats!B3</f>
        <v>2.3225347217397125E-2</v>
      </c>
      <c r="C2">
        <v>-0.1</v>
      </c>
      <c r="E2">
        <v>2E-3</v>
      </c>
      <c r="F2">
        <v>2E-3</v>
      </c>
      <c r="G2">
        <v>2E-3</v>
      </c>
      <c r="H2">
        <v>4.7244122999999999E-2</v>
      </c>
      <c r="I2">
        <f>G2/H2</f>
        <v>4.2333307785182087E-2</v>
      </c>
      <c r="K2">
        <f>E21</f>
        <v>2.1000000000000001E-2</v>
      </c>
      <c r="L2">
        <v>5.4208848775807054E-2</v>
      </c>
      <c r="M2">
        <v>4.9784245459294864E-2</v>
      </c>
    </row>
    <row r="3" spans="1:13" x14ac:dyDescent="0.2">
      <c r="A3" t="s">
        <v>64</v>
      </c>
      <c r="B3">
        <f>Stats!B4</f>
        <v>1.8018304158151411E-2</v>
      </c>
      <c r="C3">
        <v>6.7874967293672678E-2</v>
      </c>
      <c r="E3">
        <v>3.0000000000000001E-3</v>
      </c>
      <c r="F3">
        <v>3.0000000000000001E-3</v>
      </c>
      <c r="G3">
        <v>3.0000000000000001E-3</v>
      </c>
      <c r="H3">
        <v>4.6474515224561606E-2</v>
      </c>
      <c r="I3">
        <f t="shared" ref="I3:I21" si="0">G3/H3</f>
        <v>6.4551507111030845E-2</v>
      </c>
      <c r="M3">
        <v>0.10870009118080551</v>
      </c>
    </row>
    <row r="4" spans="1:13" x14ac:dyDescent="0.2">
      <c r="A4" t="s">
        <v>65</v>
      </c>
      <c r="B4">
        <f>Stats!B5</f>
        <v>1.6917831679900401E-2</v>
      </c>
      <c r="C4">
        <v>4.2434494542543354E-3</v>
      </c>
      <c r="E4">
        <v>4.0000000000000001E-3</v>
      </c>
      <c r="F4">
        <v>4.0000000000000001E-3</v>
      </c>
      <c r="G4">
        <v>4.0000000000000001E-3</v>
      </c>
      <c r="H4">
        <v>4.5824667860586428E-2</v>
      </c>
      <c r="I4">
        <f t="shared" si="0"/>
        <v>8.7289230598884063E-2</v>
      </c>
      <c r="M4">
        <v>4.4112298246504381E-2</v>
      </c>
    </row>
    <row r="5" spans="1:13" x14ac:dyDescent="0.2">
      <c r="A5" t="s">
        <v>66</v>
      </c>
      <c r="B5">
        <f>Stats!B6</f>
        <v>6.3391182852659739E-2</v>
      </c>
      <c r="C5">
        <v>0.1458201378146004</v>
      </c>
      <c r="E5">
        <v>5.0000000000000001E-3</v>
      </c>
      <c r="F5">
        <v>5.0000000000000001E-3</v>
      </c>
      <c r="G5">
        <v>5.0000000000000001E-3</v>
      </c>
      <c r="H5">
        <v>4.5299741735966792E-2</v>
      </c>
      <c r="I5">
        <f t="shared" si="0"/>
        <v>0.1103759052125044</v>
      </c>
      <c r="M5">
        <v>0.10839611037146529</v>
      </c>
    </row>
    <row r="6" spans="1:13" x14ac:dyDescent="0.2">
      <c r="A6" t="s">
        <v>67</v>
      </c>
      <c r="B6">
        <f>Stats!B7</f>
        <v>2.2760690581831267E-2</v>
      </c>
      <c r="C6">
        <v>2.2021894278678364E-3</v>
      </c>
      <c r="E6">
        <v>6.0000000000000001E-3</v>
      </c>
      <c r="F6">
        <v>6.0000000000000001E-3</v>
      </c>
      <c r="G6">
        <v>6.0000000000000001E-3</v>
      </c>
      <c r="H6">
        <v>4.490410422913798E-2</v>
      </c>
      <c r="I6">
        <f t="shared" si="0"/>
        <v>0.13361807574165213</v>
      </c>
      <c r="M6">
        <v>3.2760788393088512E-2</v>
      </c>
    </row>
    <row r="7" spans="1:13" x14ac:dyDescent="0.2">
      <c r="A7" t="s">
        <v>68</v>
      </c>
      <c r="B7">
        <f>Stats!B8</f>
        <v>2.4810110369018618E-3</v>
      </c>
      <c r="C7">
        <v>0.13827161824526918</v>
      </c>
      <c r="E7">
        <v>7.0000000000000001E-3</v>
      </c>
      <c r="F7">
        <v>7.0000000000000001E-3</v>
      </c>
      <c r="G7">
        <v>7.0000000000000001E-3</v>
      </c>
      <c r="H7">
        <v>4.4641200900575488E-2</v>
      </c>
      <c r="I7">
        <f t="shared" si="0"/>
        <v>0.1568058174687178</v>
      </c>
      <c r="M7">
        <v>0.12170599035130054</v>
      </c>
    </row>
    <row r="8" spans="1:13" x14ac:dyDescent="0.2">
      <c r="A8" t="s">
        <v>69</v>
      </c>
      <c r="B8">
        <f>Stats!B9</f>
        <v>-3.6473316780250647E-3</v>
      </c>
      <c r="C8">
        <v>-0.10000000000000002</v>
      </c>
      <c r="E8">
        <v>8.0000000000000002E-3</v>
      </c>
      <c r="F8">
        <v>8.0000000000000002E-3</v>
      </c>
      <c r="G8">
        <v>8.0000000000000002E-3</v>
      </c>
      <c r="H8">
        <v>4.4513382230831684E-2</v>
      </c>
      <c r="I8">
        <f t="shared" si="0"/>
        <v>0.1797212343585721</v>
      </c>
      <c r="M8">
        <v>-6.0335739681462712E-2</v>
      </c>
    </row>
    <row r="9" spans="1:13" x14ac:dyDescent="0.2">
      <c r="A9" t="s">
        <v>70</v>
      </c>
      <c r="B9">
        <f>Stats!B10</f>
        <v>1.392524836795089E-2</v>
      </c>
      <c r="C9">
        <v>0.3</v>
      </c>
      <c r="E9">
        <v>8.9999999999999993E-3</v>
      </c>
      <c r="F9">
        <v>8.9999999999999993E-3</v>
      </c>
      <c r="G9">
        <v>8.9999999999999993E-3</v>
      </c>
      <c r="H9">
        <v>4.45218107469324E-2</v>
      </c>
      <c r="I9">
        <f t="shared" si="0"/>
        <v>0.20214811232986765</v>
      </c>
      <c r="M9">
        <v>0.20504226766245212</v>
      </c>
    </row>
    <row r="10" spans="1:13" x14ac:dyDescent="0.2">
      <c r="A10" t="s">
        <v>71</v>
      </c>
      <c r="B10">
        <f>Stats!B11</f>
        <v>4.984027367793447E-3</v>
      </c>
      <c r="C10">
        <v>9.1117143094630565E-2</v>
      </c>
      <c r="E10">
        <v>0.01</v>
      </c>
      <c r="F10">
        <v>0.01</v>
      </c>
      <c r="G10">
        <v>0.01</v>
      </c>
      <c r="H10">
        <v>4.4666410756528302E-2</v>
      </c>
      <c r="I10">
        <f t="shared" si="0"/>
        <v>0.22388187970842122</v>
      </c>
      <c r="M10">
        <v>0.11504073262318533</v>
      </c>
    </row>
    <row r="11" spans="1:13" x14ac:dyDescent="0.2">
      <c r="A11" t="s">
        <v>72</v>
      </c>
      <c r="B11">
        <f>Stats!B12</f>
        <v>1.5017195171744324E-2</v>
      </c>
      <c r="C11">
        <v>0.22072242685577195</v>
      </c>
      <c r="E11">
        <v>1.0999999999999999E-2</v>
      </c>
      <c r="F11">
        <v>1.0999999999999999E-2</v>
      </c>
      <c r="G11">
        <v>1.0999999999999999E-2</v>
      </c>
      <c r="H11">
        <v>4.4945868332129817E-2</v>
      </c>
      <c r="I11">
        <f t="shared" si="0"/>
        <v>0.24473884715531427</v>
      </c>
      <c r="M11">
        <v>0.14500337008175787</v>
      </c>
    </row>
    <row r="12" spans="1:13" x14ac:dyDescent="0.2">
      <c r="A12" t="s">
        <v>73</v>
      </c>
      <c r="B12">
        <f>Stats!B13</f>
        <v>1.4769299533916085E-2</v>
      </c>
      <c r="C12">
        <v>0.28367968870970561</v>
      </c>
      <c r="E12">
        <v>1.2E-2</v>
      </c>
      <c r="F12">
        <v>1.2E-2</v>
      </c>
      <c r="G12">
        <v>1.2E-2</v>
      </c>
      <c r="H12">
        <v>4.5357731632507288E-2</v>
      </c>
      <c r="I12">
        <f t="shared" si="0"/>
        <v>0.26456349486841974</v>
      </c>
      <c r="M12">
        <v>5.5734068742557569E-2</v>
      </c>
    </row>
    <row r="13" spans="1:13" x14ac:dyDescent="0.2">
      <c r="A13" t="s">
        <v>74</v>
      </c>
      <c r="B13">
        <f>Stats!B14</f>
        <v>1.0201657664542013E-2</v>
      </c>
      <c r="C13">
        <v>-0.1</v>
      </c>
      <c r="E13">
        <v>1.2999999999999999E-2</v>
      </c>
      <c r="F13">
        <v>1.2999999999999999E-2</v>
      </c>
      <c r="G13">
        <v>1.2999999999999999E-2</v>
      </c>
      <c r="H13">
        <v>4.5898353130627061E-2</v>
      </c>
      <c r="I13">
        <f t="shared" si="0"/>
        <v>0.28323456318796236</v>
      </c>
      <c r="M13">
        <v>-4.6906795418318855E-3</v>
      </c>
    </row>
    <row r="14" spans="1:13" x14ac:dyDescent="0.2">
      <c r="A14" t="s">
        <v>75</v>
      </c>
      <c r="B14">
        <f>Stats!B15</f>
        <v>1.7545654462175035E-2</v>
      </c>
      <c r="C14">
        <v>3.1201286947556788E-2</v>
      </c>
      <c r="E14">
        <v>1.4E-2</v>
      </c>
      <c r="F14">
        <v>1.4E-2</v>
      </c>
      <c r="G14">
        <v>1.4000000030081249E-2</v>
      </c>
      <c r="H14">
        <v>4.6563290526866981E-2</v>
      </c>
      <c r="I14">
        <f t="shared" si="0"/>
        <v>0.30066603695035815</v>
      </c>
      <c r="M14">
        <v>2.1876588044458727E-2</v>
      </c>
    </row>
    <row r="15" spans="1:13" x14ac:dyDescent="0.2">
      <c r="A15" t="s">
        <v>76</v>
      </c>
      <c r="B15">
        <f>Stats!B16</f>
        <v>1.3419479440416651E-2</v>
      </c>
      <c r="C15">
        <v>-0.1</v>
      </c>
      <c r="E15">
        <v>1.4999999999999999E-2</v>
      </c>
      <c r="F15">
        <v>1.4999999999999999E-2</v>
      </c>
      <c r="G15">
        <v>1.4999999999999999E-2</v>
      </c>
      <c r="H15">
        <v>4.7347305501313205E-2</v>
      </c>
      <c r="I15">
        <f t="shared" si="0"/>
        <v>0.31680789099147288</v>
      </c>
      <c r="M15">
        <v>-2.5221196617909575E-2</v>
      </c>
    </row>
    <row r="16" spans="1:13" x14ac:dyDescent="0.2">
      <c r="A16" t="s">
        <v>77</v>
      </c>
      <c r="B16">
        <f>Stats!B17</f>
        <v>2.2271314265605694E-2</v>
      </c>
      <c r="C16">
        <v>-7.0961842845847278E-2</v>
      </c>
      <c r="E16">
        <v>1.6E-2</v>
      </c>
      <c r="F16">
        <v>1.6E-2</v>
      </c>
      <c r="G16">
        <v>1.6E-2</v>
      </c>
      <c r="H16">
        <v>4.8244591598743738E-2</v>
      </c>
      <c r="I16">
        <f t="shared" si="0"/>
        <v>0.33164339192823911</v>
      </c>
      <c r="M16">
        <v>-1.649260950240765E-3</v>
      </c>
    </row>
    <row r="17" spans="1:33" x14ac:dyDescent="0.2">
      <c r="A17" t="s">
        <v>78</v>
      </c>
      <c r="B17">
        <f>Stats!B18</f>
        <v>1.6300847675336873E-2</v>
      </c>
      <c r="C17">
        <v>6.1020940869941254E-2</v>
      </c>
      <c r="E17">
        <v>1.7000000000000001E-2</v>
      </c>
      <c r="F17">
        <v>1.7000000000000001E-2</v>
      </c>
      <c r="G17">
        <v>1.7000000000000001E-2</v>
      </c>
      <c r="H17">
        <v>4.9248938041435993E-2</v>
      </c>
      <c r="I17">
        <f t="shared" si="0"/>
        <v>0.34518510806663311</v>
      </c>
      <c r="M17">
        <v>1.5768170983831011E-2</v>
      </c>
    </row>
    <row r="18" spans="1:33" x14ac:dyDescent="0.2">
      <c r="A18" t="s">
        <v>79</v>
      </c>
      <c r="B18">
        <f>Stats!B19</f>
        <v>6.6524748763093389E-2</v>
      </c>
      <c r="C18">
        <v>1.6286013281496561E-2</v>
      </c>
      <c r="E18">
        <v>1.7999999999999999E-2</v>
      </c>
      <c r="F18">
        <v>1.7999999999999999E-2</v>
      </c>
      <c r="G18">
        <v>1.7999999999999999E-2</v>
      </c>
      <c r="H18">
        <v>5.0353997066523805E-2</v>
      </c>
      <c r="I18">
        <f t="shared" si="0"/>
        <v>0.35746913946513109</v>
      </c>
      <c r="M18">
        <v>1.6717447719385495E-2</v>
      </c>
    </row>
    <row r="19" spans="1:33" x14ac:dyDescent="0.2">
      <c r="A19" t="s">
        <v>80</v>
      </c>
      <c r="B19">
        <f>Stats!B20</f>
        <v>-3.6677157361377573E-4</v>
      </c>
      <c r="C19">
        <v>-0.1</v>
      </c>
      <c r="E19">
        <v>1.9E-2</v>
      </c>
      <c r="F19">
        <v>1.9E-2</v>
      </c>
      <c r="G19">
        <v>1.9000000140285821E-2</v>
      </c>
      <c r="H19">
        <v>5.1553245162011471E-2</v>
      </c>
      <c r="I19">
        <f t="shared" si="0"/>
        <v>0.36855100160186482</v>
      </c>
      <c r="M19">
        <v>-8.6094710557435283E-2</v>
      </c>
    </row>
    <row r="20" spans="1:33" x14ac:dyDescent="0.2">
      <c r="A20" t="s">
        <v>81</v>
      </c>
      <c r="B20">
        <f>Stats!B21</f>
        <v>1.300707307597276E-2</v>
      </c>
      <c r="C20">
        <v>-8.088521110786151E-2</v>
      </c>
      <c r="E20">
        <v>0.02</v>
      </c>
      <c r="F20">
        <v>0.02</v>
      </c>
      <c r="G20">
        <v>0.02</v>
      </c>
      <c r="H20">
        <v>5.2840274201985754E-2</v>
      </c>
      <c r="I20">
        <f t="shared" si="0"/>
        <v>0.37849917136214245</v>
      </c>
      <c r="M20">
        <v>2.8949344368285571E-2</v>
      </c>
    </row>
    <row r="21" spans="1:33" x14ac:dyDescent="0.2">
      <c r="A21" t="s">
        <v>82</v>
      </c>
      <c r="B21">
        <f>Stats!B22</f>
        <v>7.6791871984783809E-3</v>
      </c>
      <c r="C21">
        <v>0.28940719225983852</v>
      </c>
      <c r="E21">
        <v>2.1000000000000001E-2</v>
      </c>
      <c r="F21">
        <v>2.1000000000000001E-2</v>
      </c>
      <c r="G21">
        <v>2.1000000215282932E-2</v>
      </c>
      <c r="H21">
        <v>5.4208848775807054E-2</v>
      </c>
      <c r="I21">
        <f t="shared" si="0"/>
        <v>0.3873906325170855</v>
      </c>
      <c r="M21">
        <v>0.10840007312050744</v>
      </c>
    </row>
    <row r="22" spans="1:33" x14ac:dyDescent="0.2">
      <c r="A22" t="s">
        <v>114</v>
      </c>
      <c r="C22">
        <f>SUM(C2:C21)</f>
        <v>1.0000000003008969</v>
      </c>
      <c r="M22">
        <f>SUM(M2:M21)</f>
        <v>1</v>
      </c>
    </row>
    <row r="24" spans="1:33" x14ac:dyDescent="0.2">
      <c r="C24" t="s">
        <v>115</v>
      </c>
      <c r="D24">
        <f>SUMPRODUCT($B$2:$B$21,$C$2:$C$21)</f>
        <v>2.100000000225704E-2</v>
      </c>
    </row>
    <row r="26" spans="1:33" x14ac:dyDescent="0.2">
      <c r="C26" t="s">
        <v>116</v>
      </c>
      <c r="D26" cm="1">
        <f t="array" ref="D26">MMULT(TRANSPOSE($C$2:$C$21),MMULT(Stats!$I$3:$AB$22,$C$2:$C$21))</f>
        <v>1.6351547430277244E-3</v>
      </c>
    </row>
    <row r="27" spans="1:33" x14ac:dyDescent="0.2">
      <c r="C27" t="s">
        <v>117</v>
      </c>
      <c r="D27">
        <f>SQRT($D$26)</f>
        <v>4.0437046665498758E-2</v>
      </c>
      <c r="F27" t="s">
        <v>135</v>
      </c>
      <c r="G27" t="s">
        <v>136</v>
      </c>
      <c r="H27" t="s">
        <v>118</v>
      </c>
      <c r="I27" t="s">
        <v>163</v>
      </c>
      <c r="J27" t="s">
        <v>137</v>
      </c>
      <c r="K27" t="s">
        <v>138</v>
      </c>
      <c r="L27" t="s">
        <v>121</v>
      </c>
      <c r="M27" t="s">
        <v>139</v>
      </c>
      <c r="N27" t="s">
        <v>140</v>
      </c>
      <c r="O27" t="s">
        <v>158</v>
      </c>
      <c r="P27" t="s">
        <v>141</v>
      </c>
      <c r="Q27" t="s">
        <v>142</v>
      </c>
      <c r="R27" t="s">
        <v>143</v>
      </c>
      <c r="S27" t="s">
        <v>144</v>
      </c>
      <c r="T27" t="s">
        <v>162</v>
      </c>
      <c r="U27" t="s">
        <v>146</v>
      </c>
      <c r="V27" t="s">
        <v>147</v>
      </c>
      <c r="W27" t="s">
        <v>148</v>
      </c>
      <c r="X27" t="s">
        <v>149</v>
      </c>
      <c r="Y27" t="s">
        <v>150</v>
      </c>
      <c r="Z27" t="s">
        <v>151</v>
      </c>
      <c r="AA27" t="s">
        <v>152</v>
      </c>
      <c r="AB27" t="s">
        <v>153</v>
      </c>
      <c r="AC27" t="s">
        <v>154</v>
      </c>
      <c r="AD27" t="s">
        <v>155</v>
      </c>
      <c r="AE27" t="s">
        <v>156</v>
      </c>
      <c r="AF27" t="s">
        <v>157</v>
      </c>
      <c r="AG27" t="s">
        <v>159</v>
      </c>
    </row>
    <row r="28" spans="1:33" x14ac:dyDescent="0.2">
      <c r="F28">
        <v>1</v>
      </c>
      <c r="G28">
        <v>1.9999997545937518E-3</v>
      </c>
      <c r="H28">
        <v>2E-3</v>
      </c>
      <c r="I28" s="15">
        <f>G28-H28</f>
        <v>-2.4540624827401603E-10</v>
      </c>
      <c r="J28">
        <v>1.2797487339776936E-3</v>
      </c>
      <c r="K28">
        <v>3.5773575918234587E-2</v>
      </c>
      <c r="L28">
        <f t="shared" ref="L28:L47" si="1">G28/K28</f>
        <v>5.590718018140052E-2</v>
      </c>
      <c r="M28">
        <v>-0.1</v>
      </c>
      <c r="N28">
        <v>6.5346662024881833E-2</v>
      </c>
      <c r="O28">
        <v>8.931985312847826E-2</v>
      </c>
      <c r="P28">
        <v>-8.3073761557795667E-2</v>
      </c>
      <c r="Q28">
        <v>-2.5971216865331034E-2</v>
      </c>
      <c r="R28">
        <v>0.15430285372942121</v>
      </c>
      <c r="S28">
        <v>7.7883030957255184E-2</v>
      </c>
      <c r="T28">
        <v>-2.3231728732207562E-2</v>
      </c>
      <c r="U28">
        <v>0.20228591433243631</v>
      </c>
      <c r="V28">
        <v>0.24458143726766274</v>
      </c>
      <c r="W28">
        <v>0.20430508992950025</v>
      </c>
      <c r="X28">
        <v>-0.1</v>
      </c>
      <c r="Y28">
        <v>3.8618938937724952E-2</v>
      </c>
      <c r="Z28">
        <v>-9.4904290932586649E-2</v>
      </c>
      <c r="AA28">
        <v>-6.9773761294162337E-2</v>
      </c>
      <c r="AB28">
        <v>0.27535445114319301</v>
      </c>
      <c r="AC28">
        <v>-2.9081366445668135E-2</v>
      </c>
      <c r="AD28">
        <v>3.8633658847681301E-2</v>
      </c>
      <c r="AE28">
        <v>-7.3569582670747563E-2</v>
      </c>
      <c r="AF28">
        <v>0.20897381820026381</v>
      </c>
      <c r="AG28">
        <f>SUM(M28:AF28)</f>
        <v>1</v>
      </c>
    </row>
    <row r="29" spans="1:33" x14ac:dyDescent="0.2">
      <c r="F29">
        <v>2</v>
      </c>
      <c r="G29">
        <v>2.9999999926825375E-3</v>
      </c>
      <c r="H29">
        <v>3.0000000000000001E-3</v>
      </c>
      <c r="I29" s="15">
        <f t="shared" ref="I29:I47" si="2">G29-H29</f>
        <v>-7.317462608069647E-12</v>
      </c>
      <c r="J29">
        <v>1.2667709513920265E-3</v>
      </c>
      <c r="K29">
        <v>3.5591725883862765E-2</v>
      </c>
      <c r="L29">
        <f t="shared" si="1"/>
        <v>8.4289253139104806E-2</v>
      </c>
      <c r="M29">
        <v>-0.1</v>
      </c>
      <c r="N29">
        <v>6.6398182620983529E-2</v>
      </c>
      <c r="O29">
        <v>8.3957072365876531E-2</v>
      </c>
      <c r="P29">
        <v>-7.171545255627311E-2</v>
      </c>
      <c r="Q29">
        <v>-2.420056977753534E-2</v>
      </c>
      <c r="R29">
        <v>0.15344350650462407</v>
      </c>
      <c r="S29">
        <v>6.9212488474862735E-2</v>
      </c>
      <c r="T29">
        <v>-8.0701391349818439E-3</v>
      </c>
      <c r="U29">
        <v>0.19634289897443036</v>
      </c>
      <c r="V29">
        <v>0.24448144167388836</v>
      </c>
      <c r="W29">
        <v>0.21106790426585667</v>
      </c>
      <c r="X29">
        <v>-0.1</v>
      </c>
      <c r="Y29">
        <v>4.1990266964575446E-2</v>
      </c>
      <c r="Z29">
        <v>-9.9999999999999992E-2</v>
      </c>
      <c r="AA29">
        <v>-7.050015797343441E-2</v>
      </c>
      <c r="AB29">
        <v>0.26376325379420495</v>
      </c>
      <c r="AC29">
        <v>-2.6527125022899181E-2</v>
      </c>
      <c r="AD29">
        <v>2.9357372639733072E-2</v>
      </c>
      <c r="AE29">
        <v>-7.3541697474796122E-2</v>
      </c>
      <c r="AF29">
        <v>0.21454075289579047</v>
      </c>
      <c r="AG29">
        <f t="shared" ref="AG29:AG47" si="3">SUM(M29:AF29)</f>
        <v>0.99999999923490612</v>
      </c>
    </row>
    <row r="30" spans="1:33" x14ac:dyDescent="0.2">
      <c r="F30">
        <v>3</v>
      </c>
      <c r="G30">
        <v>4.0000000113060664E-3</v>
      </c>
      <c r="H30">
        <v>4.0000000000000001E-3</v>
      </c>
      <c r="I30" s="15">
        <f t="shared" si="2"/>
        <v>1.1306066326211006E-11</v>
      </c>
      <c r="J30">
        <v>1.2571647664934497E-3</v>
      </c>
      <c r="K30">
        <v>3.5456519379282701E-2</v>
      </c>
      <c r="L30">
        <f t="shared" si="1"/>
        <v>0.1128142322295536</v>
      </c>
      <c r="M30">
        <v>-0.1</v>
      </c>
      <c r="N30">
        <v>6.8509984492516024E-2</v>
      </c>
      <c r="O30">
        <v>7.8881285795557324E-2</v>
      </c>
      <c r="P30">
        <v>-6.0142751923417295E-2</v>
      </c>
      <c r="Q30">
        <v>-2.2575534360637594E-2</v>
      </c>
      <c r="R30">
        <v>0.15172172860892821</v>
      </c>
      <c r="S30">
        <v>6.0538643827202546E-2</v>
      </c>
      <c r="T30">
        <v>8.6100468352886678E-3</v>
      </c>
      <c r="U30">
        <v>0.19092521590320452</v>
      </c>
      <c r="V30">
        <v>0.24326022641051417</v>
      </c>
      <c r="W30">
        <v>0.21512279403820186</v>
      </c>
      <c r="X30">
        <v>-0.1</v>
      </c>
      <c r="Y30">
        <v>4.1833703739678159E-2</v>
      </c>
      <c r="Z30">
        <v>-0.10000000000000002</v>
      </c>
      <c r="AA30">
        <v>-7.0862992790463514E-2</v>
      </c>
      <c r="AB30">
        <v>0.25259726276372341</v>
      </c>
      <c r="AC30">
        <v>-2.4269839393991206E-2</v>
      </c>
      <c r="AD30">
        <v>1.9188599095433575E-2</v>
      </c>
      <c r="AE30">
        <v>-7.3822674177710115E-2</v>
      </c>
      <c r="AF30">
        <v>0.22048430099418395</v>
      </c>
      <c r="AG30">
        <f t="shared" si="3"/>
        <v>0.99999999985821275</v>
      </c>
    </row>
    <row r="31" spans="1:33" x14ac:dyDescent="0.2">
      <c r="F31">
        <v>4</v>
      </c>
      <c r="G31">
        <v>5.0000039805696431E-3</v>
      </c>
      <c r="H31">
        <v>5.0000000000000001E-3</v>
      </c>
      <c r="I31" s="15">
        <f t="shared" si="2"/>
        <v>3.980569643000087E-9</v>
      </c>
      <c r="J31">
        <v>1.2510282772563747E-3</v>
      </c>
      <c r="K31">
        <v>3.5369878106326219E-2</v>
      </c>
      <c r="L31">
        <f t="shared" si="1"/>
        <v>0.141363336496072</v>
      </c>
      <c r="M31">
        <v>-0.1</v>
      </c>
      <c r="N31">
        <v>7.0571809794150703E-2</v>
      </c>
      <c r="O31">
        <v>7.3713256448704148E-2</v>
      </c>
      <c r="P31">
        <v>-4.8565135326646913E-2</v>
      </c>
      <c r="Q31">
        <v>-2.0812012734691257E-2</v>
      </c>
      <c r="R31">
        <v>0.15019535015268926</v>
      </c>
      <c r="S31">
        <v>5.1790104827902826E-2</v>
      </c>
      <c r="T31">
        <v>2.5201133873014554E-2</v>
      </c>
      <c r="U31">
        <v>0.18544857519667998</v>
      </c>
      <c r="V31">
        <v>0.24204594638167445</v>
      </c>
      <c r="W31">
        <v>0.21905897169410934</v>
      </c>
      <c r="X31">
        <v>-0.1</v>
      </c>
      <c r="Y31">
        <v>4.1884946563764798E-2</v>
      </c>
      <c r="Z31">
        <v>-0.1</v>
      </c>
      <c r="AA31">
        <v>-7.127964746774712E-2</v>
      </c>
      <c r="AB31">
        <v>0.24145950155812751</v>
      </c>
      <c r="AC31">
        <v>-2.2022456060319762E-2</v>
      </c>
      <c r="AD31">
        <v>9.0388467885152441E-3</v>
      </c>
      <c r="AE31">
        <v>-7.4179497311656906E-2</v>
      </c>
      <c r="AF31">
        <v>0.22645030667622151</v>
      </c>
      <c r="AG31">
        <f t="shared" si="3"/>
        <v>1.0000000010544927</v>
      </c>
    </row>
    <row r="32" spans="1:33" x14ac:dyDescent="0.2">
      <c r="F32">
        <v>5</v>
      </c>
      <c r="G32">
        <v>6.000000001521376E-3</v>
      </c>
      <c r="H32">
        <v>6.0000000000000001E-3</v>
      </c>
      <c r="I32" s="15">
        <f t="shared" si="2"/>
        <v>1.5213759071985855E-12</v>
      </c>
      <c r="J32">
        <v>1.2483611187845184E-3</v>
      </c>
      <c r="K32">
        <v>3.5332154176960659E-2</v>
      </c>
      <c r="L32">
        <f t="shared" si="1"/>
        <v>0.1698169879897628</v>
      </c>
      <c r="M32">
        <v>-0.1</v>
      </c>
      <c r="N32">
        <v>7.2605587345554279E-2</v>
      </c>
      <c r="O32">
        <v>6.8545797189709351E-2</v>
      </c>
      <c r="P32">
        <v>-3.6975067423812062E-2</v>
      </c>
      <c r="Q32">
        <v>-1.9057078334229684E-2</v>
      </c>
      <c r="R32">
        <v>0.14871049034661762</v>
      </c>
      <c r="S32">
        <v>4.2999760874483282E-2</v>
      </c>
      <c r="T32">
        <v>4.1825690202662101E-2</v>
      </c>
      <c r="U32">
        <v>0.17997104788072957</v>
      </c>
      <c r="V32">
        <v>0.24082564212632152</v>
      </c>
      <c r="W32">
        <v>0.22303276517114773</v>
      </c>
      <c r="X32">
        <v>-0.1</v>
      </c>
      <c r="Y32">
        <v>4.1850320624845255E-2</v>
      </c>
      <c r="Z32">
        <v>-0.1</v>
      </c>
      <c r="AA32">
        <v>-7.165748035857307E-2</v>
      </c>
      <c r="AB32">
        <v>0.23031749436923693</v>
      </c>
      <c r="AC32">
        <v>-1.9792085028298552E-2</v>
      </c>
      <c r="AD32">
        <v>-1.1092360975770578E-3</v>
      </c>
      <c r="AE32">
        <v>-7.447009019651929E-2</v>
      </c>
      <c r="AF32">
        <v>0.23237644042177905</v>
      </c>
      <c r="AG32">
        <f t="shared" si="3"/>
        <v>0.999999999114077</v>
      </c>
    </row>
    <row r="33" spans="6:33" x14ac:dyDescent="0.2">
      <c r="F33">
        <v>6</v>
      </c>
      <c r="G33">
        <v>7.0000000492876852E-3</v>
      </c>
      <c r="H33">
        <v>7.0000000000000001E-3</v>
      </c>
      <c r="I33" s="15">
        <f t="shared" si="2"/>
        <v>4.928768504441905E-11</v>
      </c>
      <c r="J33">
        <v>1.2497314497615271E-3</v>
      </c>
      <c r="K33">
        <v>3.5351540981427204E-2</v>
      </c>
      <c r="L33">
        <f t="shared" si="1"/>
        <v>0.19801117164780191</v>
      </c>
      <c r="M33">
        <v>-0.1</v>
      </c>
      <c r="N33">
        <v>6.7755580752306394E-2</v>
      </c>
      <c r="O33">
        <v>6.5322321921621379E-2</v>
      </c>
      <c r="P33">
        <v>-2.3757147978897341E-2</v>
      </c>
      <c r="Q33">
        <v>-1.7451646688719458E-2</v>
      </c>
      <c r="R33">
        <v>0.14948001483761775</v>
      </c>
      <c r="S33">
        <v>3.1936204311733843E-2</v>
      </c>
      <c r="T33">
        <v>6.0543741460407696E-2</v>
      </c>
      <c r="U33">
        <v>0.17308354116138233</v>
      </c>
      <c r="V33">
        <v>0.23920540738303464</v>
      </c>
      <c r="W33">
        <v>0.22721918913155378</v>
      </c>
      <c r="X33">
        <v>-0.1</v>
      </c>
      <c r="Y33">
        <v>4.0018248428263403E-2</v>
      </c>
      <c r="Z33">
        <v>-0.1</v>
      </c>
      <c r="AA33">
        <v>-7.0830205416498662E-2</v>
      </c>
      <c r="AB33">
        <v>0.21887405368627666</v>
      </c>
      <c r="AC33">
        <v>-1.7158333737510374E-2</v>
      </c>
      <c r="AD33">
        <v>-1.1819169401022218E-3</v>
      </c>
      <c r="AE33">
        <v>-7.5627873357025199E-2</v>
      </c>
      <c r="AF33">
        <v>0.2325688192936437</v>
      </c>
      <c r="AG33">
        <f t="shared" si="3"/>
        <v>0.99999999824908836</v>
      </c>
    </row>
    <row r="34" spans="6:33" x14ac:dyDescent="0.2">
      <c r="F34">
        <v>7</v>
      </c>
      <c r="G34">
        <v>8.0000069775752365E-3</v>
      </c>
      <c r="H34">
        <v>8.0000000000000002E-3</v>
      </c>
      <c r="I34" s="15">
        <f t="shared" si="2"/>
        <v>6.9775752363498977E-9</v>
      </c>
      <c r="J34">
        <v>1.2534346877023333E-3</v>
      </c>
      <c r="K34">
        <v>3.5403879557222726E-2</v>
      </c>
      <c r="L34">
        <f t="shared" si="1"/>
        <v>0.22596413380756628</v>
      </c>
      <c r="M34">
        <v>-0.1</v>
      </c>
      <c r="N34">
        <v>7.6778246834407843E-2</v>
      </c>
      <c r="O34">
        <v>5.813875925004601E-2</v>
      </c>
      <c r="P34">
        <v>-1.3842691703209261E-2</v>
      </c>
      <c r="Q34">
        <v>-1.5471838063382773E-2</v>
      </c>
      <c r="R34">
        <v>0.14558714949249771</v>
      </c>
      <c r="S34">
        <v>2.5514721811235125E-2</v>
      </c>
      <c r="T34">
        <v>7.5044207906920762E-2</v>
      </c>
      <c r="U34">
        <v>0.16901635671166601</v>
      </c>
      <c r="V34">
        <v>0.23842251694858124</v>
      </c>
      <c r="W34">
        <v>0.23094936306937772</v>
      </c>
      <c r="X34">
        <v>-0.1</v>
      </c>
      <c r="Y34">
        <v>4.1953024619403437E-2</v>
      </c>
      <c r="Z34">
        <v>-0.1</v>
      </c>
      <c r="AA34">
        <v>-7.2503211076755877E-2</v>
      </c>
      <c r="AB34">
        <v>0.20803860689072956</v>
      </c>
      <c r="AC34">
        <v>-1.5297736429302253E-2</v>
      </c>
      <c r="AD34">
        <v>-2.1406220400602551E-2</v>
      </c>
      <c r="AE34">
        <v>-7.5214676956007656E-2</v>
      </c>
      <c r="AF34">
        <v>0.24429341979713948</v>
      </c>
      <c r="AG34">
        <f t="shared" si="3"/>
        <v>0.99999999870274459</v>
      </c>
    </row>
    <row r="35" spans="6:33" x14ac:dyDescent="0.2">
      <c r="F35">
        <v>8</v>
      </c>
      <c r="G35">
        <v>9.0000000286283421E-3</v>
      </c>
      <c r="H35">
        <v>8.9999999999999993E-3</v>
      </c>
      <c r="I35" s="15">
        <f t="shared" si="2"/>
        <v>2.8628342751968461E-11</v>
      </c>
      <c r="J35">
        <v>1.2611757858711566E-3</v>
      </c>
      <c r="K35">
        <v>3.5513036843829004E-2</v>
      </c>
      <c r="L35">
        <f t="shared" si="1"/>
        <v>0.25342805990392919</v>
      </c>
      <c r="M35">
        <v>-0.1</v>
      </c>
      <c r="N35">
        <v>7.8423023889276203E-2</v>
      </c>
      <c r="O35">
        <v>5.3112892799090712E-2</v>
      </c>
      <c r="P35">
        <v>-2.2866767074204838E-3</v>
      </c>
      <c r="Q35">
        <v>-1.3597705910155989E-2</v>
      </c>
      <c r="R35">
        <v>0.143892094896543</v>
      </c>
      <c r="S35">
        <v>1.689020972927701E-2</v>
      </c>
      <c r="T35">
        <v>9.1742312711085669E-2</v>
      </c>
      <c r="U35">
        <v>0.16373481577772361</v>
      </c>
      <c r="V35">
        <v>0.23719177345687231</v>
      </c>
      <c r="W35">
        <v>0.23489565393175083</v>
      </c>
      <c r="X35">
        <v>-0.1</v>
      </c>
      <c r="Y35">
        <v>4.1933037115668564E-2</v>
      </c>
      <c r="Z35">
        <v>-0.1</v>
      </c>
      <c r="AA35">
        <v>-7.2887078708910161E-2</v>
      </c>
      <c r="AB35">
        <v>0.19691106330128547</v>
      </c>
      <c r="AC35">
        <v>-1.3001314789102757E-2</v>
      </c>
      <c r="AD35">
        <v>-3.1599972602047728E-2</v>
      </c>
      <c r="AE35">
        <v>-7.559891559843207E-2</v>
      </c>
      <c r="AF35">
        <v>0.2502447860547698</v>
      </c>
      <c r="AG35">
        <f t="shared" si="3"/>
        <v>0.99999999934727413</v>
      </c>
    </row>
    <row r="36" spans="6:33" x14ac:dyDescent="0.2">
      <c r="F36">
        <v>9</v>
      </c>
      <c r="G36">
        <v>1.0000008968576876E-2</v>
      </c>
      <c r="H36">
        <v>0.01</v>
      </c>
      <c r="I36" s="15">
        <f t="shared" si="2"/>
        <v>8.9685768759478757E-9</v>
      </c>
      <c r="J36">
        <v>1.2723855084604296E-3</v>
      </c>
      <c r="K36">
        <v>3.5670513151066799E-2</v>
      </c>
      <c r="L36">
        <f t="shared" si="1"/>
        <v>0.28034384944859719</v>
      </c>
      <c r="M36">
        <v>-0.1</v>
      </c>
      <c r="N36">
        <v>8.0912386582270873E-2</v>
      </c>
      <c r="O36">
        <v>4.7767580703718927E-2</v>
      </c>
      <c r="P36">
        <v>9.3070475602869684E-3</v>
      </c>
      <c r="Q36">
        <v>-1.1919780691096437E-2</v>
      </c>
      <c r="R36">
        <v>0.14251910033733201</v>
      </c>
      <c r="S36">
        <v>8.0029717117648426E-3</v>
      </c>
      <c r="T36">
        <v>0.10826124765518254</v>
      </c>
      <c r="U36">
        <v>0.15806185018148794</v>
      </c>
      <c r="V36">
        <v>0.2360041424011437</v>
      </c>
      <c r="W36">
        <v>0.23886285952902614</v>
      </c>
      <c r="X36">
        <v>-0.1</v>
      </c>
      <c r="Y36">
        <v>4.2012858301307958E-2</v>
      </c>
      <c r="Z36">
        <v>-0.1</v>
      </c>
      <c r="AA36">
        <v>-7.332359765830064E-2</v>
      </c>
      <c r="AB36">
        <v>0.18575944208132189</v>
      </c>
      <c r="AC36">
        <v>-1.0811583220300862E-2</v>
      </c>
      <c r="AD36">
        <v>-4.1703695193894004E-2</v>
      </c>
      <c r="AE36">
        <v>-7.5910947652003583E-2</v>
      </c>
      <c r="AF36">
        <v>0.2561981160360165</v>
      </c>
      <c r="AG36">
        <f t="shared" si="3"/>
        <v>0.99999999866526479</v>
      </c>
    </row>
    <row r="37" spans="6:33" x14ac:dyDescent="0.2">
      <c r="F37">
        <v>10</v>
      </c>
      <c r="G37">
        <v>1.1000000034889072E-2</v>
      </c>
      <c r="H37">
        <v>1.0999999999999999E-2</v>
      </c>
      <c r="I37" s="15">
        <f t="shared" si="2"/>
        <v>3.4889072533794696E-11</v>
      </c>
      <c r="J37">
        <v>1.2870647214528264E-3</v>
      </c>
      <c r="K37">
        <v>3.5875684264593845E-2</v>
      </c>
      <c r="L37">
        <f t="shared" si="1"/>
        <v>0.30661436179894991</v>
      </c>
      <c r="M37">
        <v>-0.1</v>
      </c>
      <c r="N37">
        <v>8.2979441174021507E-2</v>
      </c>
      <c r="O37">
        <v>4.2582034128549828E-2</v>
      </c>
      <c r="P37">
        <v>2.0882012169025976E-2</v>
      </c>
      <c r="Q37">
        <v>-1.0143860961126412E-2</v>
      </c>
      <c r="R37">
        <v>0.14098581050609432</v>
      </c>
      <c r="S37">
        <v>-7.529105717372556E-4</v>
      </c>
      <c r="T37">
        <v>0.12486994876857549</v>
      </c>
      <c r="U37">
        <v>0.15258481847930883</v>
      </c>
      <c r="V37">
        <v>0.23479434876074343</v>
      </c>
      <c r="W37">
        <v>0.24281909407045338</v>
      </c>
      <c r="X37">
        <v>-0.1</v>
      </c>
      <c r="Y37">
        <v>4.2042709978402454E-2</v>
      </c>
      <c r="Z37">
        <v>-0.1</v>
      </c>
      <c r="AA37">
        <v>-7.3733468049455256E-2</v>
      </c>
      <c r="AB37">
        <v>0.17461968482072623</v>
      </c>
      <c r="AC37">
        <v>-8.5685916119485617E-3</v>
      </c>
      <c r="AD37">
        <v>-5.1852220169361175E-2</v>
      </c>
      <c r="AE37">
        <v>-7.625877932265214E-2</v>
      </c>
      <c r="AF37">
        <v>0.26214992802361792</v>
      </c>
      <c r="AG37">
        <f t="shared" si="3"/>
        <v>1.0000000001932388</v>
      </c>
    </row>
    <row r="38" spans="6:33" x14ac:dyDescent="0.2">
      <c r="F38">
        <v>11</v>
      </c>
      <c r="G38">
        <v>1.2000000003601147E-2</v>
      </c>
      <c r="H38">
        <v>1.2E-2</v>
      </c>
      <c r="I38" s="15">
        <f t="shared" si="2"/>
        <v>3.6011471582497734E-12</v>
      </c>
      <c r="J38">
        <v>1.305475486864837E-3</v>
      </c>
      <c r="K38">
        <v>3.6131364309486533E-2</v>
      </c>
      <c r="L38">
        <f t="shared" si="1"/>
        <v>0.33212141951834534</v>
      </c>
      <c r="M38">
        <v>-0.1</v>
      </c>
      <c r="N38">
        <v>8.9027136055830125E-2</v>
      </c>
      <c r="O38">
        <v>3.4736097853688891E-2</v>
      </c>
      <c r="P38">
        <v>3.1723758804136214E-2</v>
      </c>
      <c r="Q38">
        <v>-8.2603620711033578E-3</v>
      </c>
      <c r="R38">
        <v>0.13012933841631533</v>
      </c>
      <c r="S38">
        <v>-7.7946676428980888E-4</v>
      </c>
      <c r="T38">
        <v>0.13942256986405452</v>
      </c>
      <c r="U38">
        <v>0.14869391139970348</v>
      </c>
      <c r="V38">
        <v>0.23458955309052734</v>
      </c>
      <c r="W38">
        <v>0.24915077853054449</v>
      </c>
      <c r="X38">
        <v>-0.1</v>
      </c>
      <c r="Y38">
        <v>4.2999917652694744E-2</v>
      </c>
      <c r="Z38">
        <v>-0.1</v>
      </c>
      <c r="AA38">
        <v>-7.542090717218819E-2</v>
      </c>
      <c r="AB38">
        <v>0.1627084270910501</v>
      </c>
      <c r="AC38">
        <v>-4.829575824671248E-3</v>
      </c>
      <c r="AD38">
        <v>-6.2959313942987455E-2</v>
      </c>
      <c r="AE38">
        <v>-7.9165856302461743E-2</v>
      </c>
      <c r="AF38">
        <v>0.26823399352591709</v>
      </c>
      <c r="AG38">
        <f t="shared" si="3"/>
        <v>1.0000000002067604</v>
      </c>
    </row>
    <row r="39" spans="6:33" x14ac:dyDescent="0.2">
      <c r="F39">
        <v>12</v>
      </c>
      <c r="G39">
        <v>1.2999999991196554E-2</v>
      </c>
      <c r="H39">
        <v>1.2999999999999999E-2</v>
      </c>
      <c r="I39" s="15">
        <f t="shared" si="2"/>
        <v>-8.8034458195496157E-12</v>
      </c>
      <c r="J39">
        <v>1.3278255808779498E-3</v>
      </c>
      <c r="K39">
        <v>3.6439341114761527E-2</v>
      </c>
      <c r="L39">
        <f t="shared" si="1"/>
        <v>0.35675727369094146</v>
      </c>
      <c r="M39">
        <v>-0.1</v>
      </c>
      <c r="N39">
        <v>9.4488850739528313E-2</v>
      </c>
      <c r="O39">
        <v>2.6138059836924646E-2</v>
      </c>
      <c r="P39">
        <v>4.248140759068255E-2</v>
      </c>
      <c r="Q39">
        <v>-3.8697541023294166E-3</v>
      </c>
      <c r="R39">
        <v>0.11867807321012309</v>
      </c>
      <c r="S39">
        <v>-1.1823748669187121E-3</v>
      </c>
      <c r="T39">
        <v>0.15566849514800468</v>
      </c>
      <c r="U39">
        <v>0.1442925309632643</v>
      </c>
      <c r="V39">
        <v>0.2340628985702429</v>
      </c>
      <c r="W39">
        <v>0.25505606708695328</v>
      </c>
      <c r="X39">
        <v>-0.1</v>
      </c>
      <c r="Y39">
        <v>4.4667550624634303E-2</v>
      </c>
      <c r="Z39">
        <v>-0.1</v>
      </c>
      <c r="AA39">
        <v>-7.7116369460043355E-2</v>
      </c>
      <c r="AB39">
        <v>0.15102423825926095</v>
      </c>
      <c r="AC39">
        <v>-1.6362938172330174E-3</v>
      </c>
      <c r="AD39">
        <v>-7.4362495625167432E-2</v>
      </c>
      <c r="AE39">
        <v>-8.4542770432567124E-2</v>
      </c>
      <c r="AF39">
        <v>0.27615188921766209</v>
      </c>
      <c r="AG39">
        <f t="shared" si="3"/>
        <v>1.000000002943022</v>
      </c>
    </row>
    <row r="40" spans="6:33" x14ac:dyDescent="0.2">
      <c r="F40">
        <v>13</v>
      </c>
      <c r="G40">
        <v>1.4000000019668437E-2</v>
      </c>
      <c r="H40">
        <v>1.4E-2</v>
      </c>
      <c r="I40" s="15">
        <f t="shared" si="2"/>
        <v>1.9668437017950069E-11</v>
      </c>
      <c r="J40">
        <v>1.3519184940781325E-3</v>
      </c>
      <c r="K40">
        <v>3.6768444270571639E-2</v>
      </c>
      <c r="L40">
        <f t="shared" si="1"/>
        <v>0.38076128314391638</v>
      </c>
      <c r="M40">
        <v>-0.1</v>
      </c>
      <c r="N40">
        <v>8.9180599622534024E-2</v>
      </c>
      <c r="O40">
        <v>2.7025217476908631E-2</v>
      </c>
      <c r="P40">
        <v>5.560680057145366E-2</v>
      </c>
      <c r="Q40">
        <v>-4.8158582434535942E-3</v>
      </c>
      <c r="R40">
        <v>0.13638439800948554</v>
      </c>
      <c r="S40">
        <v>-2.7020791549684578E-2</v>
      </c>
      <c r="T40">
        <v>0.17469573302926389</v>
      </c>
      <c r="U40">
        <v>0.13615330456593475</v>
      </c>
      <c r="V40">
        <v>0.23116622988708985</v>
      </c>
      <c r="W40">
        <v>0.25468899501644104</v>
      </c>
      <c r="X40">
        <v>-0.1</v>
      </c>
      <c r="Y40">
        <v>4.2132242778774344E-2</v>
      </c>
      <c r="Z40">
        <v>-0.1</v>
      </c>
      <c r="AA40">
        <v>-7.4963695317091808E-2</v>
      </c>
      <c r="AB40">
        <v>0.14120076537473975</v>
      </c>
      <c r="AC40">
        <v>-1.839478882063196E-3</v>
      </c>
      <c r="AD40">
        <v>-8.2298310889319215E-2</v>
      </c>
      <c r="AE40">
        <v>-7.7302822118608561E-2</v>
      </c>
      <c r="AF40">
        <v>0.28000666798862389</v>
      </c>
      <c r="AG40">
        <f t="shared" si="3"/>
        <v>0.99999999732102851</v>
      </c>
    </row>
    <row r="41" spans="6:33" x14ac:dyDescent="0.2">
      <c r="F41">
        <v>14</v>
      </c>
      <c r="G41">
        <v>1.500000000400512E-2</v>
      </c>
      <c r="H41">
        <v>1.4999999999999999E-2</v>
      </c>
      <c r="I41" s="15">
        <f t="shared" si="2"/>
        <v>4.0051208877178723E-12</v>
      </c>
      <c r="J41">
        <v>1.3804750279553214E-3</v>
      </c>
      <c r="K41">
        <v>3.715474435324944E-2</v>
      </c>
      <c r="L41">
        <f t="shared" si="1"/>
        <v>0.40371694826890303</v>
      </c>
      <c r="M41">
        <v>-0.1</v>
      </c>
      <c r="N41">
        <v>9.1247853288764433E-2</v>
      </c>
      <c r="O41">
        <v>2.1839607153420135E-2</v>
      </c>
      <c r="P41">
        <v>6.7181744698793983E-2</v>
      </c>
      <c r="Q41">
        <v>-3.0400363274562889E-3</v>
      </c>
      <c r="R41">
        <v>0.13485058946815243</v>
      </c>
      <c r="S41">
        <v>-3.5776645876776904E-2</v>
      </c>
      <c r="T41">
        <v>0.19130408994663958</v>
      </c>
      <c r="U41">
        <v>0.13067611979105326</v>
      </c>
      <c r="V41">
        <v>0.22995696450493089</v>
      </c>
      <c r="W41">
        <v>0.25864573182921413</v>
      </c>
      <c r="X41">
        <v>-0.1</v>
      </c>
      <c r="Y41">
        <v>4.2162074666375414E-2</v>
      </c>
      <c r="Z41">
        <v>-0.1</v>
      </c>
      <c r="AA41">
        <v>-7.5373800109156272E-2</v>
      </c>
      <c r="AB41">
        <v>0.1300611174483933</v>
      </c>
      <c r="AC41">
        <v>4.0357398261695835E-4</v>
      </c>
      <c r="AD41">
        <v>-9.2447004004974825E-2</v>
      </c>
      <c r="AE41">
        <v>-7.7650711264010436E-2</v>
      </c>
      <c r="AF41">
        <v>0.28595873053551329</v>
      </c>
      <c r="AG41">
        <f t="shared" si="3"/>
        <v>0.99999999973149301</v>
      </c>
    </row>
    <row r="42" spans="6:33" x14ac:dyDescent="0.2">
      <c r="F42">
        <v>15</v>
      </c>
      <c r="G42">
        <v>1.6000000017384216E-2</v>
      </c>
      <c r="H42">
        <v>1.6E-2</v>
      </c>
      <c r="I42" s="15">
        <f t="shared" si="2"/>
        <v>1.7384215594828945E-11</v>
      </c>
      <c r="J42">
        <v>1.4126893199421073E-3</v>
      </c>
      <c r="K42">
        <v>3.7585759536586556E-2</v>
      </c>
      <c r="L42">
        <f t="shared" si="1"/>
        <v>0.42569314055791713</v>
      </c>
      <c r="M42">
        <v>-0.1</v>
      </c>
      <c r="N42">
        <v>8.9324206791869754E-2</v>
      </c>
      <c r="O42">
        <v>1.9589280392906867E-2</v>
      </c>
      <c r="P42">
        <v>8.1565945454844635E-2</v>
      </c>
      <c r="Q42">
        <v>-3.0044970794405766E-3</v>
      </c>
      <c r="R42">
        <v>0.13879548597411664</v>
      </c>
      <c r="S42">
        <v>-4.8350981864115967E-2</v>
      </c>
      <c r="T42">
        <v>0.2107420878998241</v>
      </c>
      <c r="U42">
        <v>0.12330997336661953</v>
      </c>
      <c r="V42">
        <v>0.22593922286107304</v>
      </c>
      <c r="W42">
        <v>0.25986178006877458</v>
      </c>
      <c r="X42">
        <v>-0.1</v>
      </c>
      <c r="Y42">
        <v>4.0488486433046166E-2</v>
      </c>
      <c r="Z42">
        <v>-0.1</v>
      </c>
      <c r="AA42">
        <v>-7.3121795744215373E-2</v>
      </c>
      <c r="AB42">
        <v>0.11903217804243099</v>
      </c>
      <c r="AC42">
        <v>4.0887911012136348E-4</v>
      </c>
      <c r="AD42">
        <v>-0.1</v>
      </c>
      <c r="AE42">
        <v>-7.5003341929576348E-2</v>
      </c>
      <c r="AF42">
        <v>0.29042309033715002</v>
      </c>
      <c r="AG42">
        <f t="shared" si="3"/>
        <v>1.0000000001154294</v>
      </c>
    </row>
    <row r="43" spans="6:33" x14ac:dyDescent="0.2">
      <c r="F43">
        <v>16</v>
      </c>
      <c r="G43">
        <v>1.700000001980213E-2</v>
      </c>
      <c r="H43">
        <v>1.7000000000000001E-2</v>
      </c>
      <c r="I43" s="15">
        <f t="shared" si="2"/>
        <v>1.980212868679665E-11</v>
      </c>
      <c r="J43">
        <v>1.4495563248017296E-3</v>
      </c>
      <c r="K43">
        <v>3.807303934284377E-2</v>
      </c>
      <c r="L43">
        <f t="shared" si="1"/>
        <v>0.44651018970980733</v>
      </c>
      <c r="M43">
        <v>-0.1</v>
      </c>
      <c r="N43">
        <v>8.2413366851154579E-2</v>
      </c>
      <c r="O43">
        <v>1.6758266811745481E-2</v>
      </c>
      <c r="P43">
        <v>9.7500137744785637E-2</v>
      </c>
      <c r="Q43">
        <v>-2.8853396918530447E-3</v>
      </c>
      <c r="R43">
        <v>0.14320435533771059</v>
      </c>
      <c r="S43">
        <v>-6.2051900553498102E-2</v>
      </c>
      <c r="T43">
        <v>0.23247144791087623</v>
      </c>
      <c r="U43">
        <v>0.11459172950138352</v>
      </c>
      <c r="V43">
        <v>0.22191113087508091</v>
      </c>
      <c r="W43">
        <v>0.26215362911983348</v>
      </c>
      <c r="X43">
        <v>-0.1</v>
      </c>
      <c r="Y43">
        <v>3.6398142948259743E-2</v>
      </c>
      <c r="Z43">
        <v>-0.1</v>
      </c>
      <c r="AA43">
        <v>-6.9571720033262729E-2</v>
      </c>
      <c r="AB43">
        <v>0.10860569268954338</v>
      </c>
      <c r="AC43">
        <v>4.2663975113546462E-4</v>
      </c>
      <c r="AD43">
        <v>-0.1</v>
      </c>
      <c r="AE43">
        <v>-7.363137978850548E-2</v>
      </c>
      <c r="AF43">
        <v>0.2917057998428878</v>
      </c>
      <c r="AG43">
        <f t="shared" si="3"/>
        <v>0.99999999931727745</v>
      </c>
    </row>
    <row r="44" spans="6:33" x14ac:dyDescent="0.2">
      <c r="F44">
        <v>17</v>
      </c>
      <c r="G44">
        <v>1.7999999999456482E-2</v>
      </c>
      <c r="H44">
        <v>1.7999999999999999E-2</v>
      </c>
      <c r="I44" s="15">
        <f t="shared" si="2"/>
        <v>-5.4351662059914929E-13</v>
      </c>
      <c r="J44">
        <v>1.4898914374125776E-3</v>
      </c>
      <c r="K44">
        <v>3.8599111873365399E-2</v>
      </c>
      <c r="L44">
        <f t="shared" si="1"/>
        <v>0.46633197309073443</v>
      </c>
      <c r="M44">
        <v>-0.1</v>
      </c>
      <c r="N44">
        <v>8.216280720784834E-2</v>
      </c>
      <c r="O44">
        <v>1.0775414029991794E-2</v>
      </c>
      <c r="P44">
        <v>0.10542322722738202</v>
      </c>
      <c r="Q44">
        <v>1.6974906825074289E-3</v>
      </c>
      <c r="R44">
        <v>0.13467224395482194</v>
      </c>
      <c r="S44">
        <v>-6.6784914376814358E-2</v>
      </c>
      <c r="T44">
        <v>0.24591320671252589</v>
      </c>
      <c r="U44">
        <v>0.11119562473523338</v>
      </c>
      <c r="V44">
        <v>0.22555114597761322</v>
      </c>
      <c r="W44">
        <v>0.2714029548125147</v>
      </c>
      <c r="X44">
        <v>-0.1</v>
      </c>
      <c r="Y44">
        <v>3.7914839109377811E-2</v>
      </c>
      <c r="Z44">
        <v>-0.1</v>
      </c>
      <c r="AA44">
        <v>-7.3935864066113438E-2</v>
      </c>
      <c r="AB44">
        <v>9.5842241814793963E-2</v>
      </c>
      <c r="AC44">
        <v>8.2327348234280413E-3</v>
      </c>
      <c r="AD44">
        <v>-0.1</v>
      </c>
      <c r="AE44">
        <v>-8.0504202193929009E-2</v>
      </c>
      <c r="AF44">
        <v>0.29044105062581554</v>
      </c>
      <c r="AG44">
        <f t="shared" si="3"/>
        <v>1.0000000010769972</v>
      </c>
    </row>
    <row r="45" spans="6:33" x14ac:dyDescent="0.2">
      <c r="F45">
        <v>18</v>
      </c>
      <c r="G45">
        <v>1.8999999988670385E-2</v>
      </c>
      <c r="H45">
        <v>1.9E-2</v>
      </c>
      <c r="I45" s="15">
        <f t="shared" si="2"/>
        <v>-1.1329614330035653E-11</v>
      </c>
      <c r="J45">
        <v>1.535554020990604E-3</v>
      </c>
      <c r="K45">
        <v>3.9186145778713731E-2</v>
      </c>
      <c r="L45">
        <f t="shared" si="1"/>
        <v>0.48486524028069528</v>
      </c>
      <c r="M45">
        <v>-0.1</v>
      </c>
      <c r="N45">
        <v>7.4303031741893649E-2</v>
      </c>
      <c r="O45">
        <v>1.0229534830317574E-2</v>
      </c>
      <c r="P45">
        <v>0.12022019872198388</v>
      </c>
      <c r="Q45">
        <v>1.7068023409244921E-3</v>
      </c>
      <c r="R45">
        <v>0.13894558920217601</v>
      </c>
      <c r="S45">
        <v>-7.8904045994497282E-2</v>
      </c>
      <c r="T45">
        <v>0.26532983193274307</v>
      </c>
      <c r="U45">
        <v>0.10480807766703454</v>
      </c>
      <c r="V45">
        <v>0.22168200944906766</v>
      </c>
      <c r="W45">
        <v>0.27342127826193047</v>
      </c>
      <c r="X45">
        <v>-0.1</v>
      </c>
      <c r="Y45">
        <v>3.4763285042446697E-2</v>
      </c>
      <c r="Z45">
        <v>-0.1</v>
      </c>
      <c r="AA45">
        <v>-7.1220520144291866E-2</v>
      </c>
      <c r="AB45">
        <v>8.3751538567906833E-2</v>
      </c>
      <c r="AC45">
        <v>1.0081302413698914E-2</v>
      </c>
      <c r="AD45">
        <v>-0.1</v>
      </c>
      <c r="AE45">
        <v>-7.8765084347586126E-2</v>
      </c>
      <c r="AF45">
        <v>0.2896471713790249</v>
      </c>
      <c r="AG45">
        <f t="shared" si="3"/>
        <v>1.0000000010647736</v>
      </c>
    </row>
    <row r="46" spans="6:33" x14ac:dyDescent="0.2">
      <c r="F46">
        <v>19</v>
      </c>
      <c r="G46">
        <v>1.9999999994474493E-2</v>
      </c>
      <c r="H46">
        <v>0.02</v>
      </c>
      <c r="I46" s="15">
        <f t="shared" si="2"/>
        <v>-5.5255071351734131E-12</v>
      </c>
      <c r="J46">
        <v>1.5857825169401344E-3</v>
      </c>
      <c r="K46">
        <v>3.9821884899388357E-2</v>
      </c>
      <c r="L46">
        <f t="shared" si="1"/>
        <v>0.50223639702152023</v>
      </c>
      <c r="M46">
        <v>-0.1</v>
      </c>
      <c r="N46">
        <v>7.4149813725658112E-2</v>
      </c>
      <c r="O46">
        <v>4.3993420388126923E-3</v>
      </c>
      <c r="P46">
        <v>0.13224051912406673</v>
      </c>
      <c r="Q46">
        <v>2.0724444201519702E-3</v>
      </c>
      <c r="R46">
        <v>0.1367823194021614</v>
      </c>
      <c r="S46">
        <v>-8.8881397683310104E-2</v>
      </c>
      <c r="T46">
        <v>0.28228597808711503</v>
      </c>
      <c r="U46">
        <v>9.7202434902918675E-2</v>
      </c>
      <c r="V46">
        <v>0.22273972845992798</v>
      </c>
      <c r="W46">
        <v>0.27954792559492331</v>
      </c>
      <c r="X46">
        <v>-0.1</v>
      </c>
      <c r="Y46">
        <v>3.4315604924812178E-2</v>
      </c>
      <c r="Z46">
        <v>-0.1</v>
      </c>
      <c r="AA46">
        <v>-7.2393196179157959E-2</v>
      </c>
      <c r="AB46">
        <v>7.3151325214154975E-2</v>
      </c>
      <c r="AC46">
        <v>1.3565534120438269E-2</v>
      </c>
      <c r="AD46">
        <v>-0.1</v>
      </c>
      <c r="AE46">
        <v>-8.1339453527097483E-2</v>
      </c>
      <c r="AF46">
        <v>0.2901610770307016</v>
      </c>
      <c r="AG46">
        <f t="shared" si="3"/>
        <v>0.99999999965627751</v>
      </c>
    </row>
    <row r="47" spans="6:33" x14ac:dyDescent="0.2">
      <c r="F47">
        <v>20</v>
      </c>
      <c r="G47">
        <v>2.100000000225704E-2</v>
      </c>
      <c r="H47">
        <v>2.1000000000000001E-2</v>
      </c>
      <c r="I47" s="15">
        <f t="shared" si="2"/>
        <v>2.2570383062525678E-12</v>
      </c>
      <c r="J47">
        <v>1.6407147437779014E-3</v>
      </c>
      <c r="K47">
        <v>4.0505737171145292E-2</v>
      </c>
      <c r="L47">
        <f t="shared" si="1"/>
        <v>0.51844507639813109</v>
      </c>
      <c r="M47">
        <v>-0.1</v>
      </c>
      <c r="N47">
        <v>6.7874967293672678E-2</v>
      </c>
      <c r="O47">
        <v>4.2434494542543354E-3</v>
      </c>
      <c r="P47">
        <v>0.1458201378146004</v>
      </c>
      <c r="Q47">
        <v>2.2021894278678364E-3</v>
      </c>
      <c r="R47">
        <v>0.13827161824526918</v>
      </c>
      <c r="S47">
        <v>-0.10000000000000002</v>
      </c>
      <c r="T47">
        <v>0.3</v>
      </c>
      <c r="U47">
        <v>9.1117143094630565E-2</v>
      </c>
      <c r="V47">
        <v>0.22072242685577195</v>
      </c>
      <c r="W47">
        <v>0.28367968870970561</v>
      </c>
      <c r="X47">
        <v>-0.1</v>
      </c>
      <c r="Y47">
        <v>3.1201286947556788E-2</v>
      </c>
      <c r="Z47">
        <v>-0.1</v>
      </c>
      <c r="AA47">
        <v>-7.0961842845847278E-2</v>
      </c>
      <c r="AB47">
        <v>6.1020940869941254E-2</v>
      </c>
      <c r="AC47">
        <v>1.6286013281496561E-2</v>
      </c>
      <c r="AD47">
        <v>-0.1</v>
      </c>
      <c r="AE47">
        <v>-8.088521110786151E-2</v>
      </c>
      <c r="AF47">
        <v>0.28940719225983852</v>
      </c>
      <c r="AG47">
        <f t="shared" si="3"/>
        <v>1.0000000003008969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8F683-C586-2248-8A2B-1275ABD094E1}">
  <dimension ref="B2:U21"/>
  <sheetViews>
    <sheetView topLeftCell="N1" workbookViewId="0">
      <selection activeCell="L26" sqref="L26"/>
    </sheetView>
  </sheetViews>
  <sheetFormatPr baseColWidth="10" defaultRowHeight="16" x14ac:dyDescent="0.2"/>
  <sheetData>
    <row r="2" spans="2:21" x14ac:dyDescent="0.2">
      <c r="B2" t="e" cm="1">
        <f t="array" ref="B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INDEX(Stats!#REF!,COLUMNS($B$2:B2),ROWS($A$2:A2))</f>
        <v>#REF!</v>
      </c>
      <c r="C2" t="e" cm="1">
        <f t="array" ref="C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INDEX(Stats!#REF!,COLUMNS($B$2:C2),ROWS($A$2:B2))</f>
        <v>#REF!</v>
      </c>
      <c r="D2" t="e" cm="1">
        <f t="array" ref="D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INDEX(Stats!#REF!,COLUMNS($B$2:D2),ROWS($A$2:C2))</f>
        <v>#REF!</v>
      </c>
      <c r="E2" t="e" cm="1">
        <f t="array" ref="E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INDEX(Stats!#REF!,COLUMNS($B$2:E2),ROWS($A$2:D2))</f>
        <v>#REF!</v>
      </c>
      <c r="F2" t="e" cm="1">
        <f t="array" ref="F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INDEX(Stats!#REF!,COLUMNS($B$2:F2),ROWS($A$2:E2))</f>
        <v>#REF!</v>
      </c>
      <c r="G2" t="e" cm="1">
        <f t="array" ref="G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INDEX(Stats!#REF!,COLUMNS($B$2:G2),ROWS($A$2:F2))</f>
        <v>#REF!</v>
      </c>
      <c r="H2" t="e" cm="1">
        <f t="array" ref="H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INDEX(Stats!#REF!,COLUMNS($B$2:H2),ROWS($A$2:G2))</f>
        <v>#REF!</v>
      </c>
      <c r="I2" t="e" cm="1">
        <f t="array" ref="I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INDEX(Stats!#REF!,COLUMNS($B$2:I2),ROWS($A$2:H2))</f>
        <v>#REF!</v>
      </c>
      <c r="J2" t="e" cm="1">
        <f t="array" ref="J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INDEX(Stats!#REF!,COLUMNS($B$2:J2),ROWS($A$2:I2))</f>
        <v>#REF!</v>
      </c>
      <c r="K2" t="e" cm="1">
        <f t="array" ref="K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INDEX(Stats!#REF!,COLUMNS($B$2:K2),ROWS($A$2:J2))</f>
        <v>#REF!</v>
      </c>
      <c r="L2" t="e" cm="1">
        <f t="array" ref="L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INDEX(Stats!#REF!,COLUMNS($B$2:L2),ROWS($A$2:K2))</f>
        <v>#REF!</v>
      </c>
      <c r="M2" t="e" cm="1">
        <f t="array" ref="M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INDEX(Stats!#REF!,COLUMNS($B$2:M2),ROWS($A$2:L2))</f>
        <v>#REF!</v>
      </c>
      <c r="N2" t="e" cm="1">
        <f t="array" ref="N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INDEX(Stats!#REF!,COLUMNS($B$2:N2),ROWS($A$2:M2))</f>
        <v>#REF!</v>
      </c>
      <c r="O2" t="e" cm="1">
        <f t="array" ref="O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INDEX(Stats!#REF!,COLUMNS($B$2:O2),ROWS($A$2:N2))</f>
        <v>#REF!</v>
      </c>
      <c r="P2" t="e" cm="1">
        <f t="array" ref="P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INDEX(Stats!#REF!,COLUMNS($B$2:P2),ROWS($A$2:O2))</f>
        <v>#REF!</v>
      </c>
      <c r="Q2" t="e" cm="1">
        <f t="array" ref="Q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INDEX(Stats!#REF!,COLUMNS($B$2:Q2),ROWS($A$2:P2))</f>
        <v>#REF!</v>
      </c>
      <c r="R2" t="e" cm="1">
        <f t="array" ref="R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INDEX(Stats!#REF!,COLUMNS($B$2:R2),ROWS($A$2:Q2))</f>
        <v>#REF!</v>
      </c>
      <c r="S2" t="e" cm="1">
        <f t="array" ref="S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INDEX(Stats!#REF!,COLUMNS($B$2:S2),ROWS($A$2:R2))</f>
        <v>#REF!</v>
      </c>
      <c r="T2" t="e" cm="1">
        <f t="array" ref="T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INDEX(Stats!#REF!,COLUMNS($B$2:T2),ROWS($A$2:S2))</f>
        <v>#REF!</v>
      </c>
      <c r="U2" t="e" cm="1">
        <f t="array" ref="U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INDEX(Stats!#REF!,COLUMNS($B$2:U2),ROWS($A$2:T2))</f>
        <v>#REF!</v>
      </c>
    </row>
    <row r="3" spans="2:21" x14ac:dyDescent="0.2">
      <c r="B3" t="e" cm="1">
        <f t="array" ref="B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INDEX(Stats!#REF!,COLUMNS($B$2:B3),ROWS($A$2:A3))</f>
        <v>#REF!</v>
      </c>
      <c r="C3" t="e" cm="1">
        <f t="array" ref="C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INDEX(Stats!#REF!,COLUMNS($B$2:C3),ROWS($A$2:B3))</f>
        <v>#REF!</v>
      </c>
      <c r="D3" t="e" cm="1">
        <f t="array" ref="D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INDEX(Stats!#REF!,COLUMNS($B$2:D3),ROWS($A$2:C3))</f>
        <v>#REF!</v>
      </c>
      <c r="E3" t="e" cm="1">
        <f t="array" ref="E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INDEX(Stats!#REF!,COLUMNS($B$2:E3),ROWS($A$2:D3))</f>
        <v>#REF!</v>
      </c>
      <c r="F3" t="e" cm="1">
        <f t="array" ref="F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INDEX(Stats!#REF!,COLUMNS($B$2:F3),ROWS($A$2:E3))</f>
        <v>#REF!</v>
      </c>
      <c r="G3" t="e" cm="1">
        <f t="array" ref="G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INDEX(Stats!#REF!,COLUMNS($B$2:G3),ROWS($A$2:F3))</f>
        <v>#REF!</v>
      </c>
      <c r="H3" t="e" cm="1">
        <f t="array" ref="H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INDEX(Stats!#REF!,COLUMNS($B$2:H3),ROWS($A$2:G3))</f>
        <v>#REF!</v>
      </c>
      <c r="I3" t="e" cm="1">
        <f t="array" ref="I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INDEX(Stats!#REF!,COLUMNS($B$2:I3),ROWS($A$2:H3))</f>
        <v>#REF!</v>
      </c>
      <c r="J3" t="e" cm="1">
        <f t="array" ref="J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INDEX(Stats!#REF!,COLUMNS($B$2:J3),ROWS($A$2:I3))</f>
        <v>#REF!</v>
      </c>
      <c r="K3" t="e" cm="1">
        <f t="array" ref="K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INDEX(Stats!#REF!,COLUMNS($B$2:K3),ROWS($A$2:J3))</f>
        <v>#REF!</v>
      </c>
      <c r="L3" t="e" cm="1">
        <f t="array" ref="L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INDEX(Stats!#REF!,COLUMNS($B$2:L3),ROWS($A$2:K3))</f>
        <v>#REF!</v>
      </c>
      <c r="M3" t="e" cm="1">
        <f t="array" ref="M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INDEX(Stats!#REF!,COLUMNS($B$2:M3),ROWS($A$2:L3))</f>
        <v>#REF!</v>
      </c>
      <c r="N3" t="e" cm="1">
        <f t="array" ref="N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INDEX(Stats!#REF!,COLUMNS($B$2:N3),ROWS($A$2:M3))</f>
        <v>#REF!</v>
      </c>
      <c r="O3" t="e" cm="1">
        <f t="array" ref="O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INDEX(Stats!#REF!,COLUMNS($B$2:O3),ROWS($A$2:N3))</f>
        <v>#REF!</v>
      </c>
      <c r="P3" t="e" cm="1">
        <f t="array" ref="P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INDEX(Stats!#REF!,COLUMNS($B$2:P3),ROWS($A$2:O3))</f>
        <v>#REF!</v>
      </c>
      <c r="Q3" t="e" cm="1">
        <f t="array" ref="Q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INDEX(Stats!#REF!,COLUMNS($B$2:Q3),ROWS($A$2:P3))</f>
        <v>#REF!</v>
      </c>
      <c r="R3" t="e" cm="1">
        <f t="array" ref="R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INDEX(Stats!#REF!,COLUMNS($B$2:R3),ROWS($A$2:Q3))</f>
        <v>#REF!</v>
      </c>
      <c r="S3" t="e" cm="1">
        <f t="array" ref="S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INDEX(Stats!#REF!,COLUMNS($B$2:S3),ROWS($A$2:R3))</f>
        <v>#REF!</v>
      </c>
      <c r="T3" t="e" cm="1">
        <f t="array" ref="T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INDEX(Stats!#REF!,COLUMNS($B$2:T3),ROWS($A$2:S3))</f>
        <v>#REF!</v>
      </c>
      <c r="U3" t="e" cm="1">
        <f t="array" ref="U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INDEX(Stats!#REF!,COLUMNS($B$2:U3),ROWS($A$2:T3))</f>
        <v>#REF!</v>
      </c>
    </row>
    <row r="4" spans="2:21" x14ac:dyDescent="0.2">
      <c r="B4" t="e" cm="1">
        <f t="array" ref="B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INDEX(Stats!#REF!,COLUMNS($B$2:B4),ROWS($A$2:A4))</f>
        <v>#REF!</v>
      </c>
      <c r="C4" t="e" cm="1">
        <f t="array" ref="C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INDEX(Stats!#REF!,COLUMNS($B$2:C4),ROWS($A$2:B4))</f>
        <v>#REF!</v>
      </c>
      <c r="D4" t="e" cm="1">
        <f t="array" ref="D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INDEX(Stats!#REF!,COLUMNS($B$2:D4),ROWS($A$2:C4))</f>
        <v>#REF!</v>
      </c>
      <c r="E4" t="e" cm="1">
        <f t="array" ref="E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INDEX(Stats!#REF!,COLUMNS($B$2:E4),ROWS($A$2:D4))</f>
        <v>#REF!</v>
      </c>
      <c r="F4" t="e" cm="1">
        <f t="array" ref="F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INDEX(Stats!#REF!,COLUMNS($B$2:F4),ROWS($A$2:E4))</f>
        <v>#REF!</v>
      </c>
      <c r="G4" t="e" cm="1">
        <f t="array" ref="G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INDEX(Stats!#REF!,COLUMNS($B$2:G4),ROWS($A$2:F4))</f>
        <v>#REF!</v>
      </c>
      <c r="H4" t="e" cm="1">
        <f t="array" ref="H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INDEX(Stats!#REF!,COLUMNS($B$2:H4),ROWS($A$2:G4))</f>
        <v>#REF!</v>
      </c>
      <c r="I4" t="e" cm="1">
        <f t="array" ref="I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INDEX(Stats!#REF!,COLUMNS($B$2:I4),ROWS($A$2:H4))</f>
        <v>#REF!</v>
      </c>
      <c r="J4" t="e" cm="1">
        <f t="array" ref="J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INDEX(Stats!#REF!,COLUMNS($B$2:J4),ROWS($A$2:I4))</f>
        <v>#REF!</v>
      </c>
      <c r="K4" t="e" cm="1">
        <f t="array" ref="K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INDEX(Stats!#REF!,COLUMNS($B$2:K4),ROWS($A$2:J4))</f>
        <v>#REF!</v>
      </c>
      <c r="L4" t="e" cm="1">
        <f t="array" ref="L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INDEX(Stats!#REF!,COLUMNS($B$2:L4),ROWS($A$2:K4))</f>
        <v>#REF!</v>
      </c>
      <c r="M4" t="e" cm="1">
        <f t="array" ref="M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INDEX(Stats!#REF!,COLUMNS($B$2:M4),ROWS($A$2:L4))</f>
        <v>#REF!</v>
      </c>
      <c r="N4" t="e" cm="1">
        <f t="array" ref="N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INDEX(Stats!#REF!,COLUMNS($B$2:N4),ROWS($A$2:M4))</f>
        <v>#REF!</v>
      </c>
      <c r="O4" t="e" cm="1">
        <f t="array" ref="O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INDEX(Stats!#REF!,COLUMNS($B$2:O4),ROWS($A$2:N4))</f>
        <v>#REF!</v>
      </c>
      <c r="P4" t="e" cm="1">
        <f t="array" ref="P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INDEX(Stats!#REF!,COLUMNS($B$2:P4),ROWS($A$2:O4))</f>
        <v>#REF!</v>
      </c>
      <c r="Q4" t="e" cm="1">
        <f t="array" ref="Q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INDEX(Stats!#REF!,COLUMNS($B$2:Q4),ROWS($A$2:P4))</f>
        <v>#REF!</v>
      </c>
      <c r="R4" t="e" cm="1">
        <f t="array" ref="R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INDEX(Stats!#REF!,COLUMNS($B$2:R4),ROWS($A$2:Q4))</f>
        <v>#REF!</v>
      </c>
      <c r="S4" t="e" cm="1">
        <f t="array" ref="S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INDEX(Stats!#REF!,COLUMNS($B$2:S4),ROWS($A$2:R4))</f>
        <v>#REF!</v>
      </c>
      <c r="T4" t="e" cm="1">
        <f t="array" ref="T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INDEX(Stats!#REF!,COLUMNS($B$2:T4),ROWS($A$2:S4))</f>
        <v>#REF!</v>
      </c>
      <c r="U4" t="e" cm="1">
        <f t="array" ref="U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INDEX(Stats!#REF!,COLUMNS($B$2:U4),ROWS($A$2:T4))</f>
        <v>#REF!</v>
      </c>
    </row>
    <row r="5" spans="2:21" x14ac:dyDescent="0.2">
      <c r="B5" t="e" cm="1">
        <f t="array" ref="B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INDEX(Stats!#REF!,COLUMNS($B$2:B5),ROWS($A$2:A5))</f>
        <v>#REF!</v>
      </c>
      <c r="C5" t="e" cm="1">
        <f t="array" ref="C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INDEX(Stats!#REF!,COLUMNS($B$2:C5),ROWS($A$2:B5))</f>
        <v>#REF!</v>
      </c>
      <c r="D5" t="e" cm="1">
        <f t="array" ref="D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INDEX(Stats!#REF!,COLUMNS($B$2:D5),ROWS($A$2:C5))</f>
        <v>#REF!</v>
      </c>
      <c r="E5" t="e" cm="1">
        <f t="array" ref="E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INDEX(Stats!#REF!,COLUMNS($B$2:E5),ROWS($A$2:D5))</f>
        <v>#REF!</v>
      </c>
      <c r="F5" t="e" cm="1">
        <f t="array" ref="F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INDEX(Stats!#REF!,COLUMNS($B$2:F5),ROWS($A$2:E5))</f>
        <v>#REF!</v>
      </c>
      <c r="G5" t="e" cm="1">
        <f t="array" ref="G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INDEX(Stats!#REF!,COLUMNS($B$2:G5),ROWS($A$2:F5))</f>
        <v>#REF!</v>
      </c>
      <c r="H5" t="e" cm="1">
        <f t="array" ref="H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INDEX(Stats!#REF!,COLUMNS($B$2:H5),ROWS($A$2:G5))</f>
        <v>#REF!</v>
      </c>
      <c r="I5" t="e" cm="1">
        <f t="array" ref="I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INDEX(Stats!#REF!,COLUMNS($B$2:I5),ROWS($A$2:H5))</f>
        <v>#REF!</v>
      </c>
      <c r="J5" t="e" cm="1">
        <f t="array" ref="J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INDEX(Stats!#REF!,COLUMNS($B$2:J5),ROWS($A$2:I5))</f>
        <v>#REF!</v>
      </c>
      <c r="K5" t="e" cm="1">
        <f t="array" ref="K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INDEX(Stats!#REF!,COLUMNS($B$2:K5),ROWS($A$2:J5))</f>
        <v>#REF!</v>
      </c>
      <c r="L5" t="e" cm="1">
        <f t="array" ref="L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INDEX(Stats!#REF!,COLUMNS($B$2:L5),ROWS($A$2:K5))</f>
        <v>#REF!</v>
      </c>
      <c r="M5" t="e" cm="1">
        <f t="array" ref="M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INDEX(Stats!#REF!,COLUMNS($B$2:M5),ROWS($A$2:L5))</f>
        <v>#REF!</v>
      </c>
      <c r="N5" t="e" cm="1">
        <f t="array" ref="N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INDEX(Stats!#REF!,COLUMNS($B$2:N5),ROWS($A$2:M5))</f>
        <v>#REF!</v>
      </c>
      <c r="O5" t="e" cm="1">
        <f t="array" ref="O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INDEX(Stats!#REF!,COLUMNS($B$2:O5),ROWS($A$2:N5))</f>
        <v>#REF!</v>
      </c>
      <c r="P5" t="e" cm="1">
        <f t="array" ref="P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INDEX(Stats!#REF!,COLUMNS($B$2:P5),ROWS($A$2:O5))</f>
        <v>#REF!</v>
      </c>
      <c r="Q5" t="e" cm="1">
        <f t="array" ref="Q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INDEX(Stats!#REF!,COLUMNS($B$2:Q5),ROWS($A$2:P5))</f>
        <v>#REF!</v>
      </c>
      <c r="R5" t="e" cm="1">
        <f t="array" ref="R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INDEX(Stats!#REF!,COLUMNS($B$2:R5),ROWS($A$2:Q5))</f>
        <v>#REF!</v>
      </c>
      <c r="S5" t="e" cm="1">
        <f t="array" ref="S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INDEX(Stats!#REF!,COLUMNS($B$2:S5),ROWS($A$2:R5))</f>
        <v>#REF!</v>
      </c>
      <c r="T5" t="e" cm="1">
        <f t="array" ref="T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INDEX(Stats!#REF!,COLUMNS($B$2:T5),ROWS($A$2:S5))</f>
        <v>#REF!</v>
      </c>
      <c r="U5" t="e" cm="1">
        <f t="array" ref="U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INDEX(Stats!#REF!,COLUMNS($B$2:U5),ROWS($A$2:T5))</f>
        <v>#REF!</v>
      </c>
    </row>
    <row r="6" spans="2:21" x14ac:dyDescent="0.2">
      <c r="B6" t="e" cm="1">
        <f t="array" ref="B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INDEX(Stats!#REF!,COLUMNS($B$2:B6),ROWS($A$2:A6))</f>
        <v>#REF!</v>
      </c>
      <c r="C6" t="e" cm="1">
        <f t="array" ref="C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INDEX(Stats!#REF!,COLUMNS($B$2:C6),ROWS($A$2:B6))</f>
        <v>#REF!</v>
      </c>
      <c r="D6" t="e" cm="1">
        <f t="array" ref="D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INDEX(Stats!#REF!,COLUMNS($B$2:D6),ROWS($A$2:C6))</f>
        <v>#REF!</v>
      </c>
      <c r="E6" t="e" cm="1">
        <f t="array" ref="E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INDEX(Stats!#REF!,COLUMNS($B$2:E6),ROWS($A$2:D6))</f>
        <v>#REF!</v>
      </c>
      <c r="F6" t="e" cm="1">
        <f t="array" ref="F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INDEX(Stats!#REF!,COLUMNS($B$2:F6),ROWS($A$2:E6))</f>
        <v>#REF!</v>
      </c>
      <c r="G6" t="e" cm="1">
        <f t="array" ref="G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INDEX(Stats!#REF!,COLUMNS($B$2:G6),ROWS($A$2:F6))</f>
        <v>#REF!</v>
      </c>
      <c r="H6" t="e" cm="1">
        <f t="array" ref="H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INDEX(Stats!#REF!,COLUMNS($B$2:H6),ROWS($A$2:G6))</f>
        <v>#REF!</v>
      </c>
      <c r="I6" t="e" cm="1">
        <f t="array" ref="I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INDEX(Stats!#REF!,COLUMNS($B$2:I6),ROWS($A$2:H6))</f>
        <v>#REF!</v>
      </c>
      <c r="J6" t="e" cm="1">
        <f t="array" ref="J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INDEX(Stats!#REF!,COLUMNS($B$2:J6),ROWS($A$2:I6))</f>
        <v>#REF!</v>
      </c>
      <c r="K6" t="e" cm="1">
        <f t="array" ref="K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INDEX(Stats!#REF!,COLUMNS($B$2:K6),ROWS($A$2:J6))</f>
        <v>#REF!</v>
      </c>
      <c r="L6" t="e" cm="1">
        <f t="array" ref="L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INDEX(Stats!#REF!,COLUMNS($B$2:L6),ROWS($A$2:K6))</f>
        <v>#REF!</v>
      </c>
      <c r="M6" t="e" cm="1">
        <f t="array" ref="M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INDEX(Stats!#REF!,COLUMNS($B$2:M6),ROWS($A$2:L6))</f>
        <v>#REF!</v>
      </c>
      <c r="N6" t="e" cm="1">
        <f t="array" ref="N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INDEX(Stats!#REF!,COLUMNS($B$2:N6),ROWS($A$2:M6))</f>
        <v>#REF!</v>
      </c>
      <c r="O6" t="e" cm="1">
        <f t="array" ref="O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INDEX(Stats!#REF!,COLUMNS($B$2:O6),ROWS($A$2:N6))</f>
        <v>#REF!</v>
      </c>
      <c r="P6" t="e" cm="1">
        <f t="array" ref="P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INDEX(Stats!#REF!,COLUMNS($B$2:P6),ROWS($A$2:O6))</f>
        <v>#REF!</v>
      </c>
      <c r="Q6" t="e" cm="1">
        <f t="array" ref="Q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INDEX(Stats!#REF!,COLUMNS($B$2:Q6),ROWS($A$2:P6))</f>
        <v>#REF!</v>
      </c>
      <c r="R6" t="e" cm="1">
        <f t="array" ref="R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INDEX(Stats!#REF!,COLUMNS($B$2:R6),ROWS($A$2:Q6))</f>
        <v>#REF!</v>
      </c>
      <c r="S6" t="e" cm="1">
        <f t="array" ref="S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INDEX(Stats!#REF!,COLUMNS($B$2:S6),ROWS($A$2:R6))</f>
        <v>#REF!</v>
      </c>
      <c r="T6" t="e" cm="1">
        <f t="array" ref="T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INDEX(Stats!#REF!,COLUMNS($B$2:T6),ROWS($A$2:S6))</f>
        <v>#REF!</v>
      </c>
      <c r="U6" t="e" cm="1">
        <f t="array" ref="U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INDEX(Stats!#REF!,COLUMNS($B$2:U6),ROWS($A$2:T6))</f>
        <v>#REF!</v>
      </c>
    </row>
    <row r="7" spans="2:21" x14ac:dyDescent="0.2">
      <c r="B7" t="e" cm="1">
        <f t="array" ref="B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INDEX(Stats!#REF!,COLUMNS($B$2:B7),ROWS($A$2:A7))</f>
        <v>#REF!</v>
      </c>
      <c r="C7" t="e" cm="1">
        <f t="array" ref="C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INDEX(Stats!#REF!,COLUMNS($B$2:C7),ROWS($A$2:B7))</f>
        <v>#REF!</v>
      </c>
      <c r="D7" t="e" cm="1">
        <f t="array" ref="D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INDEX(Stats!#REF!,COLUMNS($B$2:D7),ROWS($A$2:C7))</f>
        <v>#REF!</v>
      </c>
      <c r="E7" t="e" cm="1">
        <f t="array" ref="E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INDEX(Stats!#REF!,COLUMNS($B$2:E7),ROWS($A$2:D7))</f>
        <v>#REF!</v>
      </c>
      <c r="F7" t="e" cm="1">
        <f t="array" ref="F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INDEX(Stats!#REF!,COLUMNS($B$2:F7),ROWS($A$2:E7))</f>
        <v>#REF!</v>
      </c>
      <c r="G7" t="e" cm="1">
        <f t="array" ref="G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INDEX(Stats!#REF!,COLUMNS($B$2:G7),ROWS($A$2:F7))</f>
        <v>#REF!</v>
      </c>
      <c r="H7" t="e" cm="1">
        <f t="array" ref="H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INDEX(Stats!#REF!,COLUMNS($B$2:H7),ROWS($A$2:G7))</f>
        <v>#REF!</v>
      </c>
      <c r="I7" t="e" cm="1">
        <f t="array" ref="I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INDEX(Stats!#REF!,COLUMNS($B$2:I7),ROWS($A$2:H7))</f>
        <v>#REF!</v>
      </c>
      <c r="J7" t="e" cm="1">
        <f t="array" ref="J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INDEX(Stats!#REF!,COLUMNS($B$2:J7),ROWS($A$2:I7))</f>
        <v>#REF!</v>
      </c>
      <c r="K7" t="e" cm="1">
        <f t="array" ref="K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INDEX(Stats!#REF!,COLUMNS($B$2:K7),ROWS($A$2:J7))</f>
        <v>#REF!</v>
      </c>
      <c r="L7" t="e" cm="1">
        <f t="array" ref="L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INDEX(Stats!#REF!,COLUMNS($B$2:L7),ROWS($A$2:K7))</f>
        <v>#REF!</v>
      </c>
      <c r="M7" t="e" cm="1">
        <f t="array" ref="M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INDEX(Stats!#REF!,COLUMNS($B$2:M7),ROWS($A$2:L7))</f>
        <v>#REF!</v>
      </c>
      <c r="N7" t="e" cm="1">
        <f t="array" ref="N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INDEX(Stats!#REF!,COLUMNS($B$2:N7),ROWS($A$2:M7))</f>
        <v>#REF!</v>
      </c>
      <c r="O7" t="e" cm="1">
        <f t="array" ref="O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INDEX(Stats!#REF!,COLUMNS($B$2:O7),ROWS($A$2:N7))</f>
        <v>#REF!</v>
      </c>
      <c r="P7" t="e" cm="1">
        <f t="array" ref="P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INDEX(Stats!#REF!,COLUMNS($B$2:P7),ROWS($A$2:O7))</f>
        <v>#REF!</v>
      </c>
      <c r="Q7" t="e" cm="1">
        <f t="array" ref="Q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INDEX(Stats!#REF!,COLUMNS($B$2:Q7),ROWS($A$2:P7))</f>
        <v>#REF!</v>
      </c>
      <c r="R7" t="e" cm="1">
        <f t="array" ref="R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INDEX(Stats!#REF!,COLUMNS($B$2:R7),ROWS($A$2:Q7))</f>
        <v>#REF!</v>
      </c>
      <c r="S7" t="e" cm="1">
        <f t="array" ref="S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INDEX(Stats!#REF!,COLUMNS($B$2:S7),ROWS($A$2:R7))</f>
        <v>#REF!</v>
      </c>
      <c r="T7" t="e" cm="1">
        <f t="array" ref="T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INDEX(Stats!#REF!,COLUMNS($B$2:T7),ROWS($A$2:S7))</f>
        <v>#REF!</v>
      </c>
      <c r="U7" t="e" cm="1">
        <f t="array" ref="U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INDEX(Stats!#REF!,COLUMNS($B$2:U7),ROWS($A$2:T7))</f>
        <v>#REF!</v>
      </c>
    </row>
    <row r="8" spans="2:21" x14ac:dyDescent="0.2">
      <c r="B8" t="e" cm="1">
        <f t="array" ref="B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INDEX(Stats!#REF!,COLUMNS($B$2:B8),ROWS($A$2:A8))</f>
        <v>#REF!</v>
      </c>
      <c r="C8" t="e" cm="1">
        <f t="array" ref="C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INDEX(Stats!#REF!,COLUMNS($B$2:C8),ROWS($A$2:B8))</f>
        <v>#REF!</v>
      </c>
      <c r="D8" t="e" cm="1">
        <f t="array" ref="D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INDEX(Stats!#REF!,COLUMNS($B$2:D8),ROWS($A$2:C8))</f>
        <v>#REF!</v>
      </c>
      <c r="E8" t="e" cm="1">
        <f t="array" ref="E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INDEX(Stats!#REF!,COLUMNS($B$2:E8),ROWS($A$2:D8))</f>
        <v>#REF!</v>
      </c>
      <c r="F8" t="e" cm="1">
        <f t="array" ref="F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INDEX(Stats!#REF!,COLUMNS($B$2:F8),ROWS($A$2:E8))</f>
        <v>#REF!</v>
      </c>
      <c r="G8" t="e" cm="1">
        <f t="array" ref="G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INDEX(Stats!#REF!,COLUMNS($B$2:G8),ROWS($A$2:F8))</f>
        <v>#REF!</v>
      </c>
      <c r="H8" t="e" cm="1">
        <f t="array" ref="H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INDEX(Stats!#REF!,COLUMNS($B$2:H8),ROWS($A$2:G8))</f>
        <v>#REF!</v>
      </c>
      <c r="I8" t="e" cm="1">
        <f t="array" ref="I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INDEX(Stats!#REF!,COLUMNS($B$2:I8),ROWS($A$2:H8))</f>
        <v>#REF!</v>
      </c>
      <c r="J8" t="e" cm="1">
        <f t="array" ref="J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INDEX(Stats!#REF!,COLUMNS($B$2:J8),ROWS($A$2:I8))</f>
        <v>#REF!</v>
      </c>
      <c r="K8" t="e" cm="1">
        <f t="array" ref="K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INDEX(Stats!#REF!,COLUMNS($B$2:K8),ROWS($A$2:J8))</f>
        <v>#REF!</v>
      </c>
      <c r="L8" t="e" cm="1">
        <f t="array" ref="L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INDEX(Stats!#REF!,COLUMNS($B$2:L8),ROWS($A$2:K8))</f>
        <v>#REF!</v>
      </c>
      <c r="M8" t="e" cm="1">
        <f t="array" ref="M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INDEX(Stats!#REF!,COLUMNS($B$2:M8),ROWS($A$2:L8))</f>
        <v>#REF!</v>
      </c>
      <c r="N8" t="e" cm="1">
        <f t="array" ref="N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INDEX(Stats!#REF!,COLUMNS($B$2:N8),ROWS($A$2:M8))</f>
        <v>#REF!</v>
      </c>
      <c r="O8" t="e" cm="1">
        <f t="array" ref="O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INDEX(Stats!#REF!,COLUMNS($B$2:O8),ROWS($A$2:N8))</f>
        <v>#REF!</v>
      </c>
      <c r="P8" t="e" cm="1">
        <f t="array" ref="P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INDEX(Stats!#REF!,COLUMNS($B$2:P8),ROWS($A$2:O8))</f>
        <v>#REF!</v>
      </c>
      <c r="Q8" t="e" cm="1">
        <f t="array" ref="Q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INDEX(Stats!#REF!,COLUMNS($B$2:Q8),ROWS($A$2:P8))</f>
        <v>#REF!</v>
      </c>
      <c r="R8" t="e" cm="1">
        <f t="array" ref="R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INDEX(Stats!#REF!,COLUMNS($B$2:R8),ROWS($A$2:Q8))</f>
        <v>#REF!</v>
      </c>
      <c r="S8" t="e" cm="1">
        <f t="array" ref="S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INDEX(Stats!#REF!,COLUMNS($B$2:S8),ROWS($A$2:R8))</f>
        <v>#REF!</v>
      </c>
      <c r="T8" t="e" cm="1">
        <f t="array" ref="T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INDEX(Stats!#REF!,COLUMNS($B$2:T8),ROWS($A$2:S8))</f>
        <v>#REF!</v>
      </c>
      <c r="U8" t="e" cm="1">
        <f t="array" ref="U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INDEX(Stats!#REF!,COLUMNS($B$2:U8),ROWS($A$2:T8))</f>
        <v>#REF!</v>
      </c>
    </row>
    <row r="9" spans="2:21" x14ac:dyDescent="0.2">
      <c r="B9" t="e" cm="1">
        <f t="array" ref="B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INDEX(Stats!#REF!,COLUMNS($B$2:B9),ROWS($A$2:A9))</f>
        <v>#REF!</v>
      </c>
      <c r="C9" t="e" cm="1">
        <f t="array" ref="C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INDEX(Stats!#REF!,COLUMNS($B$2:C9),ROWS($A$2:B9))</f>
        <v>#REF!</v>
      </c>
      <c r="D9" t="e" cm="1">
        <f t="array" ref="D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INDEX(Stats!#REF!,COLUMNS($B$2:D9),ROWS($A$2:C9))</f>
        <v>#REF!</v>
      </c>
      <c r="E9" t="e" cm="1">
        <f t="array" ref="E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INDEX(Stats!#REF!,COLUMNS($B$2:E9),ROWS($A$2:D9))</f>
        <v>#REF!</v>
      </c>
      <c r="F9" t="e" cm="1">
        <f t="array" ref="F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INDEX(Stats!#REF!,COLUMNS($B$2:F9),ROWS($A$2:E9))</f>
        <v>#REF!</v>
      </c>
      <c r="G9" t="e" cm="1">
        <f t="array" ref="G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INDEX(Stats!#REF!,COLUMNS($B$2:G9),ROWS($A$2:F9))</f>
        <v>#REF!</v>
      </c>
      <c r="H9" t="e" cm="1">
        <f t="array" ref="H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INDEX(Stats!#REF!,COLUMNS($B$2:H9),ROWS($A$2:G9))</f>
        <v>#REF!</v>
      </c>
      <c r="I9" t="e" cm="1">
        <f t="array" ref="I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INDEX(Stats!#REF!,COLUMNS($B$2:I9),ROWS($A$2:H9))</f>
        <v>#REF!</v>
      </c>
      <c r="J9" t="e" cm="1">
        <f t="array" ref="J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INDEX(Stats!#REF!,COLUMNS($B$2:J9),ROWS($A$2:I9))</f>
        <v>#REF!</v>
      </c>
      <c r="K9" t="e" cm="1">
        <f t="array" ref="K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INDEX(Stats!#REF!,COLUMNS($B$2:K9),ROWS($A$2:J9))</f>
        <v>#REF!</v>
      </c>
      <c r="L9" t="e" cm="1">
        <f t="array" ref="L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INDEX(Stats!#REF!,COLUMNS($B$2:L9),ROWS($A$2:K9))</f>
        <v>#REF!</v>
      </c>
      <c r="M9" t="e" cm="1">
        <f t="array" ref="M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INDEX(Stats!#REF!,COLUMNS($B$2:M9),ROWS($A$2:L9))</f>
        <v>#REF!</v>
      </c>
      <c r="N9" t="e" cm="1">
        <f t="array" ref="N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INDEX(Stats!#REF!,COLUMNS($B$2:N9),ROWS($A$2:M9))</f>
        <v>#REF!</v>
      </c>
      <c r="O9" t="e" cm="1">
        <f t="array" ref="O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INDEX(Stats!#REF!,COLUMNS($B$2:O9),ROWS($A$2:N9))</f>
        <v>#REF!</v>
      </c>
      <c r="P9" t="e" cm="1">
        <f t="array" ref="P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INDEX(Stats!#REF!,COLUMNS($B$2:P9),ROWS($A$2:O9))</f>
        <v>#REF!</v>
      </c>
      <c r="Q9" t="e" cm="1">
        <f t="array" ref="Q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INDEX(Stats!#REF!,COLUMNS($B$2:Q9),ROWS($A$2:P9))</f>
        <v>#REF!</v>
      </c>
      <c r="R9" t="e" cm="1">
        <f t="array" ref="R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INDEX(Stats!#REF!,COLUMNS($B$2:R9),ROWS($A$2:Q9))</f>
        <v>#REF!</v>
      </c>
      <c r="S9" t="e" cm="1">
        <f t="array" ref="S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INDEX(Stats!#REF!,COLUMNS($B$2:S9),ROWS($A$2:R9))</f>
        <v>#REF!</v>
      </c>
      <c r="T9" t="e" cm="1">
        <f t="array" ref="T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INDEX(Stats!#REF!,COLUMNS($B$2:T9),ROWS($A$2:S9))</f>
        <v>#REF!</v>
      </c>
      <c r="U9" t="e" cm="1">
        <f t="array" ref="U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INDEX(Stats!#REF!,COLUMNS($B$2:U9),ROWS($A$2:T9))</f>
        <v>#REF!</v>
      </c>
    </row>
    <row r="10" spans="2:21" x14ac:dyDescent="0.2">
      <c r="B10" t="e" cm="1">
        <f t="array" ref="B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INDEX(Stats!#REF!,COLUMNS($B$2:B10),ROWS($A$2:A10))</f>
        <v>#REF!</v>
      </c>
      <c r="C10" t="e" cm="1">
        <f t="array" ref="C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INDEX(Stats!#REF!,COLUMNS($B$2:C10),ROWS($A$2:B10))</f>
        <v>#REF!</v>
      </c>
      <c r="D10" t="e" cm="1">
        <f t="array" ref="D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INDEX(Stats!#REF!,COLUMNS($B$2:D10),ROWS($A$2:C10))</f>
        <v>#REF!</v>
      </c>
      <c r="E10" t="e" cm="1">
        <f t="array" ref="E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INDEX(Stats!#REF!,COLUMNS($B$2:E10),ROWS($A$2:D10))</f>
        <v>#REF!</v>
      </c>
      <c r="F10" t="e" cm="1">
        <f t="array" ref="F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INDEX(Stats!#REF!,COLUMNS($B$2:F10),ROWS($A$2:E10))</f>
        <v>#REF!</v>
      </c>
      <c r="G10" t="e" cm="1">
        <f t="array" ref="G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INDEX(Stats!#REF!,COLUMNS($B$2:G10),ROWS($A$2:F10))</f>
        <v>#REF!</v>
      </c>
      <c r="H10" t="e" cm="1">
        <f t="array" ref="H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INDEX(Stats!#REF!,COLUMNS($B$2:H10),ROWS($A$2:G10))</f>
        <v>#REF!</v>
      </c>
      <c r="I10" t="e" cm="1">
        <f t="array" ref="I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INDEX(Stats!#REF!,COLUMNS($B$2:I10),ROWS($A$2:H10))</f>
        <v>#REF!</v>
      </c>
      <c r="J10" t="e" cm="1">
        <f t="array" ref="J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INDEX(Stats!#REF!,COLUMNS($B$2:J10),ROWS($A$2:I10))</f>
        <v>#REF!</v>
      </c>
      <c r="K10" t="e" cm="1">
        <f t="array" ref="K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INDEX(Stats!#REF!,COLUMNS($B$2:K10),ROWS($A$2:J10))</f>
        <v>#REF!</v>
      </c>
      <c r="L10" t="e" cm="1">
        <f t="array" ref="L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INDEX(Stats!#REF!,COLUMNS($B$2:L10),ROWS($A$2:K10))</f>
        <v>#REF!</v>
      </c>
      <c r="M10" t="e" cm="1">
        <f t="array" ref="M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INDEX(Stats!#REF!,COLUMNS($B$2:M10),ROWS($A$2:L10))</f>
        <v>#REF!</v>
      </c>
      <c r="N10" t="e" cm="1">
        <f t="array" ref="N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INDEX(Stats!#REF!,COLUMNS($B$2:N10),ROWS($A$2:M10))</f>
        <v>#REF!</v>
      </c>
      <c r="O10" t="e" cm="1">
        <f t="array" ref="O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INDEX(Stats!#REF!,COLUMNS($B$2:O10),ROWS($A$2:N10))</f>
        <v>#REF!</v>
      </c>
      <c r="P10" t="e" cm="1">
        <f t="array" ref="P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INDEX(Stats!#REF!,COLUMNS($B$2:P10),ROWS($A$2:O10))</f>
        <v>#REF!</v>
      </c>
      <c r="Q10" t="e" cm="1">
        <f t="array" ref="Q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INDEX(Stats!#REF!,COLUMNS($B$2:Q10),ROWS($A$2:P10))</f>
        <v>#REF!</v>
      </c>
      <c r="R10" t="e" cm="1">
        <f t="array" ref="R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INDEX(Stats!#REF!,COLUMNS($B$2:R10),ROWS($A$2:Q10))</f>
        <v>#REF!</v>
      </c>
      <c r="S10" t="e" cm="1">
        <f t="array" ref="S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INDEX(Stats!#REF!,COLUMNS($B$2:S10),ROWS($A$2:R10))</f>
        <v>#REF!</v>
      </c>
      <c r="T10" t="e" cm="1">
        <f t="array" ref="T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INDEX(Stats!#REF!,COLUMNS($B$2:T10),ROWS($A$2:S10))</f>
        <v>#REF!</v>
      </c>
      <c r="U10" t="e" cm="1">
        <f t="array" ref="U1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INDEX(Stats!#REF!,COLUMNS($B$2:U10),ROWS($A$2:T10))</f>
        <v>#REF!</v>
      </c>
    </row>
    <row r="11" spans="2:21" x14ac:dyDescent="0.2">
      <c r="B11" t="e" cm="1">
        <f t="array" ref="B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INDEX(Stats!#REF!,COLUMNS($B$2:B11),ROWS($A$2:A11))</f>
        <v>#REF!</v>
      </c>
      <c r="C11" t="e" cm="1">
        <f t="array" ref="C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INDEX(Stats!#REF!,COLUMNS($B$2:C11),ROWS($A$2:B11))</f>
        <v>#REF!</v>
      </c>
      <c r="D11" t="e" cm="1">
        <f t="array" ref="D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INDEX(Stats!#REF!,COLUMNS($B$2:D11),ROWS($A$2:C11))</f>
        <v>#REF!</v>
      </c>
      <c r="E11" t="e" cm="1">
        <f t="array" ref="E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INDEX(Stats!#REF!,COLUMNS($B$2:E11),ROWS($A$2:D11))</f>
        <v>#REF!</v>
      </c>
      <c r="F11" t="e" cm="1">
        <f t="array" ref="F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INDEX(Stats!#REF!,COLUMNS($B$2:F11),ROWS($A$2:E11))</f>
        <v>#REF!</v>
      </c>
      <c r="G11" t="e" cm="1">
        <f t="array" ref="G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INDEX(Stats!#REF!,COLUMNS($B$2:G11),ROWS($A$2:F11))</f>
        <v>#REF!</v>
      </c>
      <c r="H11" t="e" cm="1">
        <f t="array" ref="H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INDEX(Stats!#REF!,COLUMNS($B$2:H11),ROWS($A$2:G11))</f>
        <v>#REF!</v>
      </c>
      <c r="I11" t="e" cm="1">
        <f t="array" ref="I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INDEX(Stats!#REF!,COLUMNS($B$2:I11),ROWS($A$2:H11))</f>
        <v>#REF!</v>
      </c>
      <c r="J11" t="e" cm="1">
        <f t="array" ref="J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INDEX(Stats!#REF!,COLUMNS($B$2:J11),ROWS($A$2:I11))</f>
        <v>#REF!</v>
      </c>
      <c r="K11" t="e" cm="1">
        <f t="array" ref="K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INDEX(Stats!#REF!,COLUMNS($B$2:K11),ROWS($A$2:J11))</f>
        <v>#REF!</v>
      </c>
      <c r="L11" t="e" cm="1">
        <f t="array" ref="L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INDEX(Stats!#REF!,COLUMNS($B$2:L11),ROWS($A$2:K11))</f>
        <v>#REF!</v>
      </c>
      <c r="M11" t="e" cm="1">
        <f t="array" ref="M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INDEX(Stats!#REF!,COLUMNS($B$2:M11),ROWS($A$2:L11))</f>
        <v>#REF!</v>
      </c>
      <c r="N11" t="e" cm="1">
        <f t="array" ref="N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INDEX(Stats!#REF!,COLUMNS($B$2:N11),ROWS($A$2:M11))</f>
        <v>#REF!</v>
      </c>
      <c r="O11" t="e" cm="1">
        <f t="array" ref="O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INDEX(Stats!#REF!,COLUMNS($B$2:O11),ROWS($A$2:N11))</f>
        <v>#REF!</v>
      </c>
      <c r="P11" t="e" cm="1">
        <f t="array" ref="P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INDEX(Stats!#REF!,COLUMNS($B$2:P11),ROWS($A$2:O11))</f>
        <v>#REF!</v>
      </c>
      <c r="Q11" t="e" cm="1">
        <f t="array" ref="Q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INDEX(Stats!#REF!,COLUMNS($B$2:Q11),ROWS($A$2:P11))</f>
        <v>#REF!</v>
      </c>
      <c r="R11" t="e" cm="1">
        <f t="array" ref="R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INDEX(Stats!#REF!,COLUMNS($B$2:R11),ROWS($A$2:Q11))</f>
        <v>#REF!</v>
      </c>
      <c r="S11" t="e" cm="1">
        <f t="array" ref="S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INDEX(Stats!#REF!,COLUMNS($B$2:S11),ROWS($A$2:R11))</f>
        <v>#REF!</v>
      </c>
      <c r="T11" t="e" cm="1">
        <f t="array" ref="T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INDEX(Stats!#REF!,COLUMNS($B$2:T11),ROWS($A$2:S11))</f>
        <v>#REF!</v>
      </c>
      <c r="U11" t="e" cm="1">
        <f t="array" ref="U1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INDEX(Stats!#REF!,COLUMNS($B$2:U11),ROWS($A$2:T11))</f>
        <v>#REF!</v>
      </c>
    </row>
    <row r="12" spans="2:21" x14ac:dyDescent="0.2">
      <c r="B12" t="e" cm="1">
        <f t="array" ref="B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INDEX(Stats!#REF!,COLUMNS($B$2:B12),ROWS($A$2:A12))</f>
        <v>#REF!</v>
      </c>
      <c r="C12" t="e" cm="1">
        <f t="array" ref="C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INDEX(Stats!#REF!,COLUMNS($B$2:C12),ROWS($A$2:B12))</f>
        <v>#REF!</v>
      </c>
      <c r="D12" t="e" cm="1">
        <f t="array" ref="D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INDEX(Stats!#REF!,COLUMNS($B$2:D12),ROWS($A$2:C12))</f>
        <v>#REF!</v>
      </c>
      <c r="E12" t="e" cm="1">
        <f t="array" ref="E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INDEX(Stats!#REF!,COLUMNS($B$2:E12),ROWS($A$2:D12))</f>
        <v>#REF!</v>
      </c>
      <c r="F12" t="e" cm="1">
        <f t="array" ref="F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INDEX(Stats!#REF!,COLUMNS($B$2:F12),ROWS($A$2:E12))</f>
        <v>#REF!</v>
      </c>
      <c r="G12" t="e" cm="1">
        <f t="array" ref="G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INDEX(Stats!#REF!,COLUMNS($B$2:G12),ROWS($A$2:F12))</f>
        <v>#REF!</v>
      </c>
      <c r="H12" t="e" cm="1">
        <f t="array" ref="H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INDEX(Stats!#REF!,COLUMNS($B$2:H12),ROWS($A$2:G12))</f>
        <v>#REF!</v>
      </c>
      <c r="I12" t="e" cm="1">
        <f t="array" ref="I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INDEX(Stats!#REF!,COLUMNS($B$2:I12),ROWS($A$2:H12))</f>
        <v>#REF!</v>
      </c>
      <c r="J12" t="e" cm="1">
        <f t="array" ref="J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INDEX(Stats!#REF!,COLUMNS($B$2:J12),ROWS($A$2:I12))</f>
        <v>#REF!</v>
      </c>
      <c r="K12" t="e" cm="1">
        <f t="array" ref="K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INDEX(Stats!#REF!,COLUMNS($B$2:K12),ROWS($A$2:J12))</f>
        <v>#REF!</v>
      </c>
      <c r="L12" t="e" cm="1">
        <f t="array" ref="L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INDEX(Stats!#REF!,COLUMNS($B$2:L12),ROWS($A$2:K12))</f>
        <v>#REF!</v>
      </c>
      <c r="M12" t="e" cm="1">
        <f t="array" ref="M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INDEX(Stats!#REF!,COLUMNS($B$2:M12),ROWS($A$2:L12))</f>
        <v>#REF!</v>
      </c>
      <c r="N12" t="e" cm="1">
        <f t="array" ref="N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INDEX(Stats!#REF!,COLUMNS($B$2:N12),ROWS($A$2:M12))</f>
        <v>#REF!</v>
      </c>
      <c r="O12" t="e" cm="1">
        <f t="array" ref="O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INDEX(Stats!#REF!,COLUMNS($B$2:O12),ROWS($A$2:N12))</f>
        <v>#REF!</v>
      </c>
      <c r="P12" t="e" cm="1">
        <f t="array" ref="P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INDEX(Stats!#REF!,COLUMNS($B$2:P12),ROWS($A$2:O12))</f>
        <v>#REF!</v>
      </c>
      <c r="Q12" t="e" cm="1">
        <f t="array" ref="Q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INDEX(Stats!#REF!,COLUMNS($B$2:Q12),ROWS($A$2:P12))</f>
        <v>#REF!</v>
      </c>
      <c r="R12" t="e" cm="1">
        <f t="array" ref="R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INDEX(Stats!#REF!,COLUMNS($B$2:R12),ROWS($A$2:Q12))</f>
        <v>#REF!</v>
      </c>
      <c r="S12" t="e" cm="1">
        <f t="array" ref="S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INDEX(Stats!#REF!,COLUMNS($B$2:S12),ROWS($A$2:R12))</f>
        <v>#REF!</v>
      </c>
      <c r="T12" t="e" cm="1">
        <f t="array" ref="T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INDEX(Stats!#REF!,COLUMNS($B$2:T12),ROWS($A$2:S12))</f>
        <v>#REF!</v>
      </c>
      <c r="U12" t="e" cm="1">
        <f t="array" ref="U12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INDEX(Stats!#REF!,COLUMNS($B$2:U12),ROWS($A$2:T12))</f>
        <v>#REF!</v>
      </c>
    </row>
    <row r="13" spans="2:21" x14ac:dyDescent="0.2">
      <c r="B13" t="e" cm="1">
        <f t="array" ref="B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INDEX(Stats!#REF!,COLUMNS($B$2:B13),ROWS($A$2:A13))</f>
        <v>#REF!</v>
      </c>
      <c r="C13" t="e" cm="1">
        <f t="array" ref="C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INDEX(Stats!#REF!,COLUMNS($B$2:C13),ROWS($A$2:B13))</f>
        <v>#REF!</v>
      </c>
      <c r="D13" t="e" cm="1">
        <f t="array" ref="D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INDEX(Stats!#REF!,COLUMNS($B$2:D13),ROWS($A$2:C13))</f>
        <v>#REF!</v>
      </c>
      <c r="E13" t="e" cm="1">
        <f t="array" ref="E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INDEX(Stats!#REF!,COLUMNS($B$2:E13),ROWS($A$2:D13))</f>
        <v>#REF!</v>
      </c>
      <c r="F13" t="e" cm="1">
        <f t="array" ref="F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INDEX(Stats!#REF!,COLUMNS($B$2:F13),ROWS($A$2:E13))</f>
        <v>#REF!</v>
      </c>
      <c r="G13" t="e" cm="1">
        <f t="array" ref="G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INDEX(Stats!#REF!,COLUMNS($B$2:G13),ROWS($A$2:F13))</f>
        <v>#REF!</v>
      </c>
      <c r="H13" t="e" cm="1">
        <f t="array" ref="H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INDEX(Stats!#REF!,COLUMNS($B$2:H13),ROWS($A$2:G13))</f>
        <v>#REF!</v>
      </c>
      <c r="I13" t="e" cm="1">
        <f t="array" ref="I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INDEX(Stats!#REF!,COLUMNS($B$2:I13),ROWS($A$2:H13))</f>
        <v>#REF!</v>
      </c>
      <c r="J13" t="e" cm="1">
        <f t="array" ref="J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INDEX(Stats!#REF!,COLUMNS($B$2:J13),ROWS($A$2:I13))</f>
        <v>#REF!</v>
      </c>
      <c r="K13" t="e" cm="1">
        <f t="array" ref="K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INDEX(Stats!#REF!,COLUMNS($B$2:K13),ROWS($A$2:J13))</f>
        <v>#REF!</v>
      </c>
      <c r="L13" t="e" cm="1">
        <f t="array" ref="L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INDEX(Stats!#REF!,COLUMNS($B$2:L13),ROWS($A$2:K13))</f>
        <v>#REF!</v>
      </c>
      <c r="M13" t="e" cm="1">
        <f t="array" ref="M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INDEX(Stats!#REF!,COLUMNS($B$2:M13),ROWS($A$2:L13))</f>
        <v>#REF!</v>
      </c>
      <c r="N13" t="e" cm="1">
        <f t="array" ref="N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INDEX(Stats!#REF!,COLUMNS($B$2:N13),ROWS($A$2:M13))</f>
        <v>#REF!</v>
      </c>
      <c r="O13" t="e" cm="1">
        <f t="array" ref="O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INDEX(Stats!#REF!,COLUMNS($B$2:O13),ROWS($A$2:N13))</f>
        <v>#REF!</v>
      </c>
      <c r="P13" t="e" cm="1">
        <f t="array" ref="P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INDEX(Stats!#REF!,COLUMNS($B$2:P13),ROWS($A$2:O13))</f>
        <v>#REF!</v>
      </c>
      <c r="Q13" t="e" cm="1">
        <f t="array" ref="Q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INDEX(Stats!#REF!,COLUMNS($B$2:Q13),ROWS($A$2:P13))</f>
        <v>#REF!</v>
      </c>
      <c r="R13" t="e" cm="1">
        <f t="array" ref="R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INDEX(Stats!#REF!,COLUMNS($B$2:R13),ROWS($A$2:Q13))</f>
        <v>#REF!</v>
      </c>
      <c r="S13" t="e" cm="1">
        <f t="array" ref="S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INDEX(Stats!#REF!,COLUMNS($B$2:S13),ROWS($A$2:R13))</f>
        <v>#REF!</v>
      </c>
      <c r="T13" t="e" cm="1">
        <f t="array" ref="T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INDEX(Stats!#REF!,COLUMNS($B$2:T13),ROWS($A$2:S13))</f>
        <v>#REF!</v>
      </c>
      <c r="U13" t="e" cm="1">
        <f t="array" ref="U13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INDEX(Stats!#REF!,COLUMNS($B$2:U13),ROWS($A$2:T13))</f>
        <v>#REF!</v>
      </c>
    </row>
    <row r="14" spans="2:21" x14ac:dyDescent="0.2">
      <c r="B14" t="e" cm="1">
        <f t="array" ref="B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INDEX(Stats!#REF!,COLUMNS($B$2:B14),ROWS($A$2:A14))</f>
        <v>#REF!</v>
      </c>
      <c r="C14" t="e" cm="1">
        <f t="array" ref="C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INDEX(Stats!#REF!,COLUMNS($B$2:C14),ROWS($A$2:B14))</f>
        <v>#REF!</v>
      </c>
      <c r="D14" t="e" cm="1">
        <f t="array" ref="D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INDEX(Stats!#REF!,COLUMNS($B$2:D14),ROWS($A$2:C14))</f>
        <v>#REF!</v>
      </c>
      <c r="E14" t="e" cm="1">
        <f t="array" ref="E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INDEX(Stats!#REF!,COLUMNS($B$2:E14),ROWS($A$2:D14))</f>
        <v>#REF!</v>
      </c>
      <c r="F14" t="e" cm="1">
        <f t="array" ref="F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INDEX(Stats!#REF!,COLUMNS($B$2:F14),ROWS($A$2:E14))</f>
        <v>#REF!</v>
      </c>
      <c r="G14" t="e" cm="1">
        <f t="array" ref="G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INDEX(Stats!#REF!,COLUMNS($B$2:G14),ROWS($A$2:F14))</f>
        <v>#REF!</v>
      </c>
      <c r="H14" t="e" cm="1">
        <f t="array" ref="H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INDEX(Stats!#REF!,COLUMNS($B$2:H14),ROWS($A$2:G14))</f>
        <v>#REF!</v>
      </c>
      <c r="I14" t="e" cm="1">
        <f t="array" ref="I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INDEX(Stats!#REF!,COLUMNS($B$2:I14),ROWS($A$2:H14))</f>
        <v>#REF!</v>
      </c>
      <c r="J14" t="e" cm="1">
        <f t="array" ref="J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INDEX(Stats!#REF!,COLUMNS($B$2:J14),ROWS($A$2:I14))</f>
        <v>#REF!</v>
      </c>
      <c r="K14" t="e" cm="1">
        <f t="array" ref="K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INDEX(Stats!#REF!,COLUMNS($B$2:K14),ROWS($A$2:J14))</f>
        <v>#REF!</v>
      </c>
      <c r="L14" t="e" cm="1">
        <f t="array" ref="L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INDEX(Stats!#REF!,COLUMNS($B$2:L14),ROWS($A$2:K14))</f>
        <v>#REF!</v>
      </c>
      <c r="M14" t="e" cm="1">
        <f t="array" ref="M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INDEX(Stats!#REF!,COLUMNS($B$2:M14),ROWS($A$2:L14))</f>
        <v>#REF!</v>
      </c>
      <c r="N14" t="e" cm="1">
        <f t="array" ref="N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INDEX(Stats!#REF!,COLUMNS($B$2:N14),ROWS($A$2:M14))</f>
        <v>#REF!</v>
      </c>
      <c r="O14" t="e" cm="1">
        <f t="array" ref="O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INDEX(Stats!#REF!,COLUMNS($B$2:O14),ROWS($A$2:N14))</f>
        <v>#REF!</v>
      </c>
      <c r="P14" t="e" cm="1">
        <f t="array" ref="P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INDEX(Stats!#REF!,COLUMNS($B$2:P14),ROWS($A$2:O14))</f>
        <v>#REF!</v>
      </c>
      <c r="Q14" t="e" cm="1">
        <f t="array" ref="Q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INDEX(Stats!#REF!,COLUMNS($B$2:Q14),ROWS($A$2:P14))</f>
        <v>#REF!</v>
      </c>
      <c r="R14" t="e" cm="1">
        <f t="array" ref="R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INDEX(Stats!#REF!,COLUMNS($B$2:R14),ROWS($A$2:Q14))</f>
        <v>#REF!</v>
      </c>
      <c r="S14" t="e" cm="1">
        <f t="array" ref="S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INDEX(Stats!#REF!,COLUMNS($B$2:S14),ROWS($A$2:R14))</f>
        <v>#REF!</v>
      </c>
      <c r="T14" t="e" cm="1">
        <f t="array" ref="T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INDEX(Stats!#REF!,COLUMNS($B$2:T14),ROWS($A$2:S14))</f>
        <v>#REF!</v>
      </c>
      <c r="U14" t="e" cm="1">
        <f t="array" ref="U14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INDEX(Stats!#REF!,COLUMNS($B$2:U14),ROWS($A$2:T14))</f>
        <v>#REF!</v>
      </c>
    </row>
    <row r="15" spans="2:21" x14ac:dyDescent="0.2">
      <c r="B15" t="e" cm="1">
        <f t="array" ref="B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INDEX(Stats!#REF!,COLUMNS($B$2:B15),ROWS($A$2:A15))</f>
        <v>#REF!</v>
      </c>
      <c r="C15" t="e" cm="1">
        <f t="array" ref="C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INDEX(Stats!#REF!,COLUMNS($B$2:C15),ROWS($A$2:B15))</f>
        <v>#REF!</v>
      </c>
      <c r="D15" t="e" cm="1">
        <f t="array" ref="D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INDEX(Stats!#REF!,COLUMNS($B$2:D15),ROWS($A$2:C15))</f>
        <v>#REF!</v>
      </c>
      <c r="E15" t="e" cm="1">
        <f t="array" ref="E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INDEX(Stats!#REF!,COLUMNS($B$2:E15),ROWS($A$2:D15))</f>
        <v>#REF!</v>
      </c>
      <c r="F15" t="e" cm="1">
        <f t="array" ref="F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INDEX(Stats!#REF!,COLUMNS($B$2:F15),ROWS($A$2:E15))</f>
        <v>#REF!</v>
      </c>
      <c r="G15" t="e" cm="1">
        <f t="array" ref="G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INDEX(Stats!#REF!,COLUMNS($B$2:G15),ROWS($A$2:F15))</f>
        <v>#REF!</v>
      </c>
      <c r="H15" t="e" cm="1">
        <f t="array" ref="H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INDEX(Stats!#REF!,COLUMNS($B$2:H15),ROWS($A$2:G15))</f>
        <v>#REF!</v>
      </c>
      <c r="I15" t="e" cm="1">
        <f t="array" ref="I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INDEX(Stats!#REF!,COLUMNS($B$2:I15),ROWS($A$2:H15))</f>
        <v>#REF!</v>
      </c>
      <c r="J15" t="e" cm="1">
        <f t="array" ref="J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INDEX(Stats!#REF!,COLUMNS($B$2:J15),ROWS($A$2:I15))</f>
        <v>#REF!</v>
      </c>
      <c r="K15" t="e" cm="1">
        <f t="array" ref="K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INDEX(Stats!#REF!,COLUMNS($B$2:K15),ROWS($A$2:J15))</f>
        <v>#REF!</v>
      </c>
      <c r="L15" t="e" cm="1">
        <f t="array" ref="L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INDEX(Stats!#REF!,COLUMNS($B$2:L15),ROWS($A$2:K15))</f>
        <v>#REF!</v>
      </c>
      <c r="M15" t="e" cm="1">
        <f t="array" ref="M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INDEX(Stats!#REF!,COLUMNS($B$2:M15),ROWS($A$2:L15))</f>
        <v>#REF!</v>
      </c>
      <c r="N15" t="e" cm="1">
        <f t="array" ref="N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INDEX(Stats!#REF!,COLUMNS($B$2:N15),ROWS($A$2:M15))</f>
        <v>#REF!</v>
      </c>
      <c r="O15" t="e" cm="1">
        <f t="array" ref="O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INDEX(Stats!#REF!,COLUMNS($B$2:O15),ROWS($A$2:N15))</f>
        <v>#REF!</v>
      </c>
      <c r="P15" t="e" cm="1">
        <f t="array" ref="P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INDEX(Stats!#REF!,COLUMNS($B$2:P15),ROWS($A$2:O15))</f>
        <v>#REF!</v>
      </c>
      <c r="Q15" t="e" cm="1">
        <f t="array" ref="Q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INDEX(Stats!#REF!,COLUMNS($B$2:Q15),ROWS($A$2:P15))</f>
        <v>#REF!</v>
      </c>
      <c r="R15" t="e" cm="1">
        <f t="array" ref="R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INDEX(Stats!#REF!,COLUMNS($B$2:R15),ROWS($A$2:Q15))</f>
        <v>#REF!</v>
      </c>
      <c r="S15" t="e" cm="1">
        <f t="array" ref="S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INDEX(Stats!#REF!,COLUMNS($B$2:S15),ROWS($A$2:R15))</f>
        <v>#REF!</v>
      </c>
      <c r="T15" t="e" cm="1">
        <f t="array" ref="T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INDEX(Stats!#REF!,COLUMNS($B$2:T15),ROWS($A$2:S15))</f>
        <v>#REF!</v>
      </c>
      <c r="U15" t="e" cm="1">
        <f t="array" ref="U15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INDEX(Stats!#REF!,COLUMNS($B$2:U15),ROWS($A$2:T15))</f>
        <v>#REF!</v>
      </c>
    </row>
    <row r="16" spans="2:21" x14ac:dyDescent="0.2">
      <c r="B16" t="e" cm="1">
        <f t="array" ref="B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INDEX(Stats!#REF!,COLUMNS($B$2:B16),ROWS($A$2:A16))</f>
        <v>#REF!</v>
      </c>
      <c r="C16" t="e" cm="1">
        <f t="array" ref="C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INDEX(Stats!#REF!,COLUMNS($B$2:C16),ROWS($A$2:B16))</f>
        <v>#REF!</v>
      </c>
      <c r="D16" t="e" cm="1">
        <f t="array" ref="D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INDEX(Stats!#REF!,COLUMNS($B$2:D16),ROWS($A$2:C16))</f>
        <v>#REF!</v>
      </c>
      <c r="E16" t="e" cm="1">
        <f t="array" ref="E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INDEX(Stats!#REF!,COLUMNS($B$2:E16),ROWS($A$2:D16))</f>
        <v>#REF!</v>
      </c>
      <c r="F16" t="e" cm="1">
        <f t="array" ref="F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INDEX(Stats!#REF!,COLUMNS($B$2:F16),ROWS($A$2:E16))</f>
        <v>#REF!</v>
      </c>
      <c r="G16" t="e" cm="1">
        <f t="array" ref="G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INDEX(Stats!#REF!,COLUMNS($B$2:G16),ROWS($A$2:F16))</f>
        <v>#REF!</v>
      </c>
      <c r="H16" t="e" cm="1">
        <f t="array" ref="H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INDEX(Stats!#REF!,COLUMNS($B$2:H16),ROWS($A$2:G16))</f>
        <v>#REF!</v>
      </c>
      <c r="I16" t="e" cm="1">
        <f t="array" ref="I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INDEX(Stats!#REF!,COLUMNS($B$2:I16),ROWS($A$2:H16))</f>
        <v>#REF!</v>
      </c>
      <c r="J16" t="e" cm="1">
        <f t="array" ref="J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INDEX(Stats!#REF!,COLUMNS($B$2:J16),ROWS($A$2:I16))</f>
        <v>#REF!</v>
      </c>
      <c r="K16" t="e" cm="1">
        <f t="array" ref="K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INDEX(Stats!#REF!,COLUMNS($B$2:K16),ROWS($A$2:J16))</f>
        <v>#REF!</v>
      </c>
      <c r="L16" t="e" cm="1">
        <f t="array" ref="L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INDEX(Stats!#REF!,COLUMNS($B$2:L16),ROWS($A$2:K16))</f>
        <v>#REF!</v>
      </c>
      <c r="M16" t="e" cm="1">
        <f t="array" ref="M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INDEX(Stats!#REF!,COLUMNS($B$2:M16),ROWS($A$2:L16))</f>
        <v>#REF!</v>
      </c>
      <c r="N16" t="e" cm="1">
        <f t="array" ref="N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INDEX(Stats!#REF!,COLUMNS($B$2:N16),ROWS($A$2:M16))</f>
        <v>#REF!</v>
      </c>
      <c r="O16" t="e" cm="1">
        <f t="array" ref="O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INDEX(Stats!#REF!,COLUMNS($B$2:O16),ROWS($A$2:N16))</f>
        <v>#REF!</v>
      </c>
      <c r="P16" t="e" cm="1">
        <f t="array" ref="P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INDEX(Stats!#REF!,COLUMNS($B$2:P16),ROWS($A$2:O16))</f>
        <v>#REF!</v>
      </c>
      <c r="Q16" t="e" cm="1">
        <f t="array" ref="Q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INDEX(Stats!#REF!,COLUMNS($B$2:Q16),ROWS($A$2:P16))</f>
        <v>#REF!</v>
      </c>
      <c r="R16" t="e" cm="1">
        <f t="array" ref="R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INDEX(Stats!#REF!,COLUMNS($B$2:R16),ROWS($A$2:Q16))</f>
        <v>#REF!</v>
      </c>
      <c r="S16" t="e" cm="1">
        <f t="array" ref="S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INDEX(Stats!#REF!,COLUMNS($B$2:S16),ROWS($A$2:R16))</f>
        <v>#REF!</v>
      </c>
      <c r="T16" t="e" cm="1">
        <f t="array" ref="T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INDEX(Stats!#REF!,COLUMNS($B$2:T16),ROWS($A$2:S16))</f>
        <v>#REF!</v>
      </c>
      <c r="U16" t="e" cm="1">
        <f t="array" ref="U16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INDEX(Stats!#REF!,COLUMNS($B$2:U16),ROWS($A$2:T16))</f>
        <v>#REF!</v>
      </c>
    </row>
    <row r="17" spans="2:21" x14ac:dyDescent="0.2">
      <c r="B17" t="e" cm="1">
        <f t="array" ref="B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INDEX(Stats!#REF!,COLUMNS($B$2:B17),ROWS($A$2:A17))</f>
        <v>#REF!</v>
      </c>
      <c r="C17" t="e" cm="1">
        <f t="array" ref="C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INDEX(Stats!#REF!,COLUMNS($B$2:C17),ROWS($A$2:B17))</f>
        <v>#REF!</v>
      </c>
      <c r="D17" t="e" cm="1">
        <f t="array" ref="D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INDEX(Stats!#REF!,COLUMNS($B$2:D17),ROWS($A$2:C17))</f>
        <v>#REF!</v>
      </c>
      <c r="E17" t="e" cm="1">
        <f t="array" ref="E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INDEX(Stats!#REF!,COLUMNS($B$2:E17),ROWS($A$2:D17))</f>
        <v>#REF!</v>
      </c>
      <c r="F17" t="e" cm="1">
        <f t="array" ref="F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INDEX(Stats!#REF!,COLUMNS($B$2:F17),ROWS($A$2:E17))</f>
        <v>#REF!</v>
      </c>
      <c r="G17" t="e" cm="1">
        <f t="array" ref="G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INDEX(Stats!#REF!,COLUMNS($B$2:G17),ROWS($A$2:F17))</f>
        <v>#REF!</v>
      </c>
      <c r="H17" t="e" cm="1">
        <f t="array" ref="H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INDEX(Stats!#REF!,COLUMNS($B$2:H17),ROWS($A$2:G17))</f>
        <v>#REF!</v>
      </c>
      <c r="I17" t="e" cm="1">
        <f t="array" ref="I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INDEX(Stats!#REF!,COLUMNS($B$2:I17),ROWS($A$2:H17))</f>
        <v>#REF!</v>
      </c>
      <c r="J17" t="e" cm="1">
        <f t="array" ref="J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INDEX(Stats!#REF!,COLUMNS($B$2:J17),ROWS($A$2:I17))</f>
        <v>#REF!</v>
      </c>
      <c r="K17" t="e" cm="1">
        <f t="array" ref="K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INDEX(Stats!#REF!,COLUMNS($B$2:K17),ROWS($A$2:J17))</f>
        <v>#REF!</v>
      </c>
      <c r="L17" t="e" cm="1">
        <f t="array" ref="L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INDEX(Stats!#REF!,COLUMNS($B$2:L17),ROWS($A$2:K17))</f>
        <v>#REF!</v>
      </c>
      <c r="M17" t="e" cm="1">
        <f t="array" ref="M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INDEX(Stats!#REF!,COLUMNS($B$2:M17),ROWS($A$2:L17))</f>
        <v>#REF!</v>
      </c>
      <c r="N17" t="e" cm="1">
        <f t="array" ref="N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INDEX(Stats!#REF!,COLUMNS($B$2:N17),ROWS($A$2:M17))</f>
        <v>#REF!</v>
      </c>
      <c r="O17" t="e" cm="1">
        <f t="array" ref="O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INDEX(Stats!#REF!,COLUMNS($B$2:O17),ROWS($A$2:N17))</f>
        <v>#REF!</v>
      </c>
      <c r="P17" t="e" cm="1">
        <f t="array" ref="P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INDEX(Stats!#REF!,COLUMNS($B$2:P17),ROWS($A$2:O17))</f>
        <v>#REF!</v>
      </c>
      <c r="Q17" t="e" cm="1">
        <f t="array" ref="Q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INDEX(Stats!#REF!,COLUMNS($B$2:Q17),ROWS($A$2:P17))</f>
        <v>#REF!</v>
      </c>
      <c r="R17" t="e" cm="1">
        <f t="array" ref="R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INDEX(Stats!#REF!,COLUMNS($B$2:R17),ROWS($A$2:Q17))</f>
        <v>#REF!</v>
      </c>
      <c r="S17" t="e" cm="1">
        <f t="array" ref="S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INDEX(Stats!#REF!,COLUMNS($B$2:S17),ROWS($A$2:R17))</f>
        <v>#REF!</v>
      </c>
      <c r="T17" t="e" cm="1">
        <f t="array" ref="T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INDEX(Stats!#REF!,COLUMNS($B$2:T17),ROWS($A$2:S17))</f>
        <v>#REF!</v>
      </c>
      <c r="U17" t="e" cm="1">
        <f t="array" ref="U17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INDEX(Stats!#REF!,COLUMNS($B$2:U17),ROWS($A$2:T17))</f>
        <v>#REF!</v>
      </c>
    </row>
    <row r="18" spans="2:21" x14ac:dyDescent="0.2">
      <c r="B18" t="e" cm="1">
        <f t="array" ref="B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INDEX(Stats!#REF!,COLUMNS($B$2:B18),ROWS($A$2:A18))</f>
        <v>#REF!</v>
      </c>
      <c r="C18" t="e" cm="1">
        <f t="array" ref="C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INDEX(Stats!#REF!,COLUMNS($B$2:C18),ROWS($A$2:B18))</f>
        <v>#REF!</v>
      </c>
      <c r="D18" t="e" cm="1">
        <f t="array" ref="D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INDEX(Stats!#REF!,COLUMNS($B$2:D18),ROWS($A$2:C18))</f>
        <v>#REF!</v>
      </c>
      <c r="E18" t="e" cm="1">
        <f t="array" ref="E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INDEX(Stats!#REF!,COLUMNS($B$2:E18),ROWS($A$2:D18))</f>
        <v>#REF!</v>
      </c>
      <c r="F18" t="e" cm="1">
        <f t="array" ref="F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INDEX(Stats!#REF!,COLUMNS($B$2:F18),ROWS($A$2:E18))</f>
        <v>#REF!</v>
      </c>
      <c r="G18" t="e" cm="1">
        <f t="array" ref="G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INDEX(Stats!#REF!,COLUMNS($B$2:G18),ROWS($A$2:F18))</f>
        <v>#REF!</v>
      </c>
      <c r="H18" t="e" cm="1">
        <f t="array" ref="H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INDEX(Stats!#REF!,COLUMNS($B$2:H18),ROWS($A$2:G18))</f>
        <v>#REF!</v>
      </c>
      <c r="I18" t="e" cm="1">
        <f t="array" ref="I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INDEX(Stats!#REF!,COLUMNS($B$2:I18),ROWS($A$2:H18))</f>
        <v>#REF!</v>
      </c>
      <c r="J18" t="e" cm="1">
        <f t="array" ref="J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INDEX(Stats!#REF!,COLUMNS($B$2:J18),ROWS($A$2:I18))</f>
        <v>#REF!</v>
      </c>
      <c r="K18" t="e" cm="1">
        <f t="array" ref="K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INDEX(Stats!#REF!,COLUMNS($B$2:K18),ROWS($A$2:J18))</f>
        <v>#REF!</v>
      </c>
      <c r="L18" t="e" cm="1">
        <f t="array" ref="L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INDEX(Stats!#REF!,COLUMNS($B$2:L18),ROWS($A$2:K18))</f>
        <v>#REF!</v>
      </c>
      <c r="M18" t="e" cm="1">
        <f t="array" ref="M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INDEX(Stats!#REF!,COLUMNS($B$2:M18),ROWS($A$2:L18))</f>
        <v>#REF!</v>
      </c>
      <c r="N18" t="e" cm="1">
        <f t="array" ref="N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INDEX(Stats!#REF!,COLUMNS($B$2:N18),ROWS($A$2:M18))</f>
        <v>#REF!</v>
      </c>
      <c r="O18" t="e" cm="1">
        <f t="array" ref="O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INDEX(Stats!#REF!,COLUMNS($B$2:O18),ROWS($A$2:N18))</f>
        <v>#REF!</v>
      </c>
      <c r="P18" t="e" cm="1">
        <f t="array" ref="P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INDEX(Stats!#REF!,COLUMNS($B$2:P18),ROWS($A$2:O18))</f>
        <v>#REF!</v>
      </c>
      <c r="Q18" t="e" cm="1">
        <f t="array" ref="Q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INDEX(Stats!#REF!,COLUMNS($B$2:Q18),ROWS($A$2:P18))</f>
        <v>#REF!</v>
      </c>
      <c r="R18" t="e" cm="1">
        <f t="array" ref="R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INDEX(Stats!#REF!,COLUMNS($B$2:R18),ROWS($A$2:Q18))</f>
        <v>#REF!</v>
      </c>
      <c r="S18" t="e" cm="1">
        <f t="array" ref="S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INDEX(Stats!#REF!,COLUMNS($B$2:S18),ROWS($A$2:R18))</f>
        <v>#REF!</v>
      </c>
      <c r="T18" t="e" cm="1">
        <f t="array" ref="T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INDEX(Stats!#REF!,COLUMNS($B$2:T18),ROWS($A$2:S18))</f>
        <v>#REF!</v>
      </c>
      <c r="U18" t="e" cm="1">
        <f t="array" ref="U18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INDEX(Stats!#REF!,COLUMNS($B$2:U18),ROWS($A$2:T18))</f>
        <v>#REF!</v>
      </c>
    </row>
    <row r="19" spans="2:21" x14ac:dyDescent="0.2">
      <c r="B19" t="e" cm="1">
        <f t="array" ref="B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INDEX(Stats!#REF!,COLUMNS($B$2:B19),ROWS($A$2:A19))</f>
        <v>#REF!</v>
      </c>
      <c r="C19" t="e" cm="1">
        <f t="array" ref="C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INDEX(Stats!#REF!,COLUMNS($B$2:C19),ROWS($A$2:B19))</f>
        <v>#REF!</v>
      </c>
      <c r="D19" t="e" cm="1">
        <f t="array" ref="D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INDEX(Stats!#REF!,COLUMNS($B$2:D19),ROWS($A$2:C19))</f>
        <v>#REF!</v>
      </c>
      <c r="E19" t="e" cm="1">
        <f t="array" ref="E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INDEX(Stats!#REF!,COLUMNS($B$2:E19),ROWS($A$2:D19))</f>
        <v>#REF!</v>
      </c>
      <c r="F19" t="e" cm="1">
        <f t="array" ref="F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INDEX(Stats!#REF!,COLUMNS($B$2:F19),ROWS($A$2:E19))</f>
        <v>#REF!</v>
      </c>
      <c r="G19" t="e" cm="1">
        <f t="array" ref="G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INDEX(Stats!#REF!,COLUMNS($B$2:G19),ROWS($A$2:F19))</f>
        <v>#REF!</v>
      </c>
      <c r="H19" t="e" cm="1">
        <f t="array" ref="H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INDEX(Stats!#REF!,COLUMNS($B$2:H19),ROWS($A$2:G19))</f>
        <v>#REF!</v>
      </c>
      <c r="I19" t="e" cm="1">
        <f t="array" ref="I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INDEX(Stats!#REF!,COLUMNS($B$2:I19),ROWS($A$2:H19))</f>
        <v>#REF!</v>
      </c>
      <c r="J19" t="e" cm="1">
        <f t="array" ref="J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INDEX(Stats!#REF!,COLUMNS($B$2:J19),ROWS($A$2:I19))</f>
        <v>#REF!</v>
      </c>
      <c r="K19" t="e" cm="1">
        <f t="array" ref="K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INDEX(Stats!#REF!,COLUMNS($B$2:K19),ROWS($A$2:J19))</f>
        <v>#REF!</v>
      </c>
      <c r="L19" t="e" cm="1">
        <f t="array" ref="L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INDEX(Stats!#REF!,COLUMNS($B$2:L19),ROWS($A$2:K19))</f>
        <v>#REF!</v>
      </c>
      <c r="M19" t="e" cm="1">
        <f t="array" ref="M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INDEX(Stats!#REF!,COLUMNS($B$2:M19),ROWS($A$2:L19))</f>
        <v>#REF!</v>
      </c>
      <c r="N19" t="e" cm="1">
        <f t="array" ref="N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INDEX(Stats!#REF!,COLUMNS($B$2:N19),ROWS($A$2:M19))</f>
        <v>#REF!</v>
      </c>
      <c r="O19" t="e" cm="1">
        <f t="array" ref="O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INDEX(Stats!#REF!,COLUMNS($B$2:O19),ROWS($A$2:N19))</f>
        <v>#REF!</v>
      </c>
      <c r="P19" t="e" cm="1">
        <f t="array" ref="P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INDEX(Stats!#REF!,COLUMNS($B$2:P19),ROWS($A$2:O19))</f>
        <v>#REF!</v>
      </c>
      <c r="Q19" t="e" cm="1">
        <f t="array" ref="Q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INDEX(Stats!#REF!,COLUMNS($B$2:Q19),ROWS($A$2:P19))</f>
        <v>#REF!</v>
      </c>
      <c r="R19" t="e" cm="1">
        <f t="array" ref="R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INDEX(Stats!#REF!,COLUMNS($B$2:R19),ROWS($A$2:Q19))</f>
        <v>#REF!</v>
      </c>
      <c r="S19" t="e" cm="1">
        <f t="array" ref="S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INDEX(Stats!#REF!,COLUMNS($B$2:S19),ROWS($A$2:R19))</f>
        <v>#REF!</v>
      </c>
      <c r="T19" t="e" cm="1">
        <f t="array" ref="T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INDEX(Stats!#REF!,COLUMNS($B$2:T19),ROWS($A$2:S19))</f>
        <v>#REF!</v>
      </c>
      <c r="U19" t="e" cm="1">
        <f t="array" ref="U19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INDEX(Stats!#REF!,COLUMNS($B$2:U19),ROWS($A$2:T19))</f>
        <v>#REF!</v>
      </c>
    </row>
    <row r="20" spans="2:21" x14ac:dyDescent="0.2">
      <c r="B20" t="e" cm="1">
        <f t="array" ref="B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INDEX(Stats!#REF!,COLUMNS($B$2:B20),ROWS($A$2:A20))</f>
        <v>#REF!</v>
      </c>
      <c r="C20" t="e" cm="1">
        <f t="array" ref="C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INDEX(Stats!#REF!,COLUMNS($B$2:C20),ROWS($A$2:B20))</f>
        <v>#REF!</v>
      </c>
      <c r="D20" t="e" cm="1">
        <f t="array" ref="D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INDEX(Stats!#REF!,COLUMNS($B$2:D20),ROWS($A$2:C20))</f>
        <v>#REF!</v>
      </c>
      <c r="E20" t="e" cm="1">
        <f t="array" ref="E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INDEX(Stats!#REF!,COLUMNS($B$2:E20),ROWS($A$2:D20))</f>
        <v>#REF!</v>
      </c>
      <c r="F20" t="e" cm="1">
        <f t="array" ref="F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INDEX(Stats!#REF!,COLUMNS($B$2:F20),ROWS($A$2:E20))</f>
        <v>#REF!</v>
      </c>
      <c r="G20" t="e" cm="1">
        <f t="array" ref="G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INDEX(Stats!#REF!,COLUMNS($B$2:G20),ROWS($A$2:F20))</f>
        <v>#REF!</v>
      </c>
      <c r="H20" t="e" cm="1">
        <f t="array" ref="H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INDEX(Stats!#REF!,COLUMNS($B$2:H20),ROWS($A$2:G20))</f>
        <v>#REF!</v>
      </c>
      <c r="I20" t="e" cm="1">
        <f t="array" ref="I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INDEX(Stats!#REF!,COLUMNS($B$2:I20),ROWS($A$2:H20))</f>
        <v>#REF!</v>
      </c>
      <c r="J20" t="e" cm="1">
        <f t="array" ref="J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INDEX(Stats!#REF!,COLUMNS($B$2:J20),ROWS($A$2:I20))</f>
        <v>#REF!</v>
      </c>
      <c r="K20" t="e" cm="1">
        <f t="array" ref="K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INDEX(Stats!#REF!,COLUMNS($B$2:K20),ROWS($A$2:J20))</f>
        <v>#REF!</v>
      </c>
      <c r="L20" t="e" cm="1">
        <f t="array" ref="L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INDEX(Stats!#REF!,COLUMNS($B$2:L20),ROWS($A$2:K20))</f>
        <v>#REF!</v>
      </c>
      <c r="M20" t="e" cm="1">
        <f t="array" ref="M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INDEX(Stats!#REF!,COLUMNS($B$2:M20),ROWS($A$2:L20))</f>
        <v>#REF!</v>
      </c>
      <c r="N20" t="e" cm="1">
        <f t="array" ref="N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INDEX(Stats!#REF!,COLUMNS($B$2:N20),ROWS($A$2:M20))</f>
        <v>#REF!</v>
      </c>
      <c r="O20" t="e" cm="1">
        <f t="array" ref="O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INDEX(Stats!#REF!,COLUMNS($B$2:O20),ROWS($A$2:N20))</f>
        <v>#REF!</v>
      </c>
      <c r="P20" t="e" cm="1">
        <f t="array" ref="P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INDEX(Stats!#REF!,COLUMNS($B$2:P20),ROWS($A$2:O20))</f>
        <v>#REF!</v>
      </c>
      <c r="Q20" t="e" cm="1">
        <f t="array" ref="Q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INDEX(Stats!#REF!,COLUMNS($B$2:Q20),ROWS($A$2:P20))</f>
        <v>#REF!</v>
      </c>
      <c r="R20" t="e" cm="1">
        <f t="array" ref="R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INDEX(Stats!#REF!,COLUMNS($B$2:R20),ROWS($A$2:Q20))</f>
        <v>#REF!</v>
      </c>
      <c r="S20" t="e" cm="1">
        <f t="array" ref="S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INDEX(Stats!#REF!,COLUMNS($B$2:S20),ROWS($A$2:R20))</f>
        <v>#REF!</v>
      </c>
      <c r="T20" t="e" cm="1">
        <f t="array" ref="T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INDEX(Stats!#REF!,COLUMNS($B$2:T20),ROWS($A$2:S20))</f>
        <v>#REF!</v>
      </c>
      <c r="U20" t="e" cm="1">
        <f t="array" ref="U20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INDEX(Stats!#REF!,COLUMNS($B$2:U20),ROWS($A$2:T20))</f>
        <v>#REF!</v>
      </c>
    </row>
    <row r="21" spans="2:21" x14ac:dyDescent="0.2">
      <c r="B21" t="e" cm="1">
        <f t="array" ref="B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INDEX(Stats!#REF!,COLUMNS($B$2:B21),ROWS($A$2:A21))</f>
        <v>#REF!</v>
      </c>
      <c r="C21" t="e" cm="1">
        <f t="array" ref="C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INDEX(Stats!#REF!,COLUMNS($B$2:C21),ROWS($A$2:B21))</f>
        <v>#REF!</v>
      </c>
      <c r="D21" t="e" cm="1">
        <f t="array" ref="D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INDEX(Stats!#REF!,COLUMNS($B$2:D21),ROWS($A$2:C21))</f>
        <v>#REF!</v>
      </c>
      <c r="E21" t="e" cm="1">
        <f t="array" ref="E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INDEX(Stats!#REF!,COLUMNS($B$2:E21),ROWS($A$2:D21))</f>
        <v>#REF!</v>
      </c>
      <c r="F21" t="e" cm="1">
        <f t="array" ref="F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INDEX(Stats!#REF!,COLUMNS($B$2:F21),ROWS($A$2:E21))</f>
        <v>#REF!</v>
      </c>
      <c r="G21" t="e" cm="1">
        <f t="array" ref="G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INDEX(Stats!#REF!,COLUMNS($B$2:G21),ROWS($A$2:F21))</f>
        <v>#REF!</v>
      </c>
      <c r="H21" t="e" cm="1">
        <f t="array" ref="H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INDEX(Stats!#REF!,COLUMNS($B$2:H21),ROWS($A$2:G21))</f>
        <v>#REF!</v>
      </c>
      <c r="I21" t="e" cm="1">
        <f t="array" ref="I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INDEX(Stats!#REF!,COLUMNS($B$2:I21),ROWS($A$2:H21))</f>
        <v>#REF!</v>
      </c>
      <c r="J21" t="e" cm="1">
        <f t="array" ref="J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INDEX(Stats!#REF!,COLUMNS($B$2:J21),ROWS($A$2:I21))</f>
        <v>#REF!</v>
      </c>
      <c r="K21" t="e" cm="1">
        <f t="array" ref="K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INDEX(Stats!#REF!,COLUMNS($B$2:K21),ROWS($A$2:J21))</f>
        <v>#REF!</v>
      </c>
      <c r="L21" t="e" cm="1">
        <f t="array" ref="L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INDEX(Stats!#REF!,COLUMNS($B$2:L21),ROWS($A$2:K21))</f>
        <v>#REF!</v>
      </c>
      <c r="M21" t="e" cm="1">
        <f t="array" ref="M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INDEX(Stats!#REF!,COLUMNS($B$2:M21),ROWS($A$2:L21))</f>
        <v>#REF!</v>
      </c>
      <c r="N21" t="e" cm="1">
        <f t="array" ref="N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INDEX(Stats!#REF!,COLUMNS($B$2:N21),ROWS($A$2:M21))</f>
        <v>#REF!</v>
      </c>
      <c r="O21" t="e" cm="1">
        <f t="array" ref="O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INDEX(Stats!#REF!,COLUMNS($B$2:O21),ROWS($A$2:N21))</f>
        <v>#REF!</v>
      </c>
      <c r="P21" t="e" cm="1">
        <f t="array" ref="P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INDEX(Stats!#REF!,COLUMNS($B$2:P21),ROWS($A$2:O21))</f>
        <v>#REF!</v>
      </c>
      <c r="Q21" t="e" cm="1">
        <f t="array" ref="Q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INDEX(Stats!#REF!,COLUMNS($B$2:Q21),ROWS($A$2:P21))</f>
        <v>#REF!</v>
      </c>
      <c r="R21" t="e" cm="1">
        <f t="array" ref="R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INDEX(Stats!#REF!,COLUMNS($B$2:R21),ROWS($A$2:Q21))</f>
        <v>#REF!</v>
      </c>
      <c r="S21" t="e" cm="1">
        <f t="array" ref="S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INDEX(Stats!#REF!,COLUMNS($B$2:S21),ROWS($A$2:R21))</f>
        <v>#REF!</v>
      </c>
      <c r="T21" t="e" cm="1">
        <f t="array" ref="T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INDEX(Stats!#REF!,COLUMNS($B$2:T21),ROWS($A$2:S21))</f>
        <v>#REF!</v>
      </c>
      <c r="U21" t="e" cm="1">
        <f t="array" ref="U21">IF(Stats!#REF!&lt;&gt;"",
Stats!#REF!,
INDEX(Stats!#REF!,
COLUMN()-COLUMN($B$2)+1,
ROW()-ROW($B$2)+1))
                                                                                                                                                                                                                                                                INDEX(Stats!#REF!,COLUMNS($B$2:U21),ROWS($A$2:T21))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Prices</vt:lpstr>
      <vt:lpstr>Returns</vt:lpstr>
      <vt:lpstr>Excess_Returns</vt:lpstr>
      <vt:lpstr>RiskFree</vt:lpstr>
      <vt:lpstr>Stats</vt:lpstr>
      <vt:lpstr>MV_HighBeta</vt:lpstr>
      <vt:lpstr>MV_LowBeta</vt:lpstr>
      <vt:lpstr>MV_NoShortSelling</vt:lpstr>
      <vt:lpstr>MV_RestrictedSelling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Dawoud</dc:creator>
  <cp:lastModifiedBy>Nada Dawoud</cp:lastModifiedBy>
  <dcterms:created xsi:type="dcterms:W3CDTF">2025-12-16T02:29:11Z</dcterms:created>
  <dcterms:modified xsi:type="dcterms:W3CDTF">2026-02-15T23:56:53Z</dcterms:modified>
</cp:coreProperties>
</file>